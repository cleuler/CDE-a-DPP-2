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1_QualidAjuste" sheetId="1" state="visible" r:id="rId3"/>
    <sheet name="Tab1QuaAj" sheetId="2" state="visible" r:id="rId4"/>
    <sheet name="Tab2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<sst xmlns="http://schemas.openxmlformats.org/spreadsheetml/2006/main" count="88" uniqueCount="51">
  <si>
    <t xml:space="preserve">Teste Qui-Quadrado</t>
  </si>
  <si>
    <t xml:space="preserve">Porporção (%) População do Estado Goiás por raça/cor</t>
  </si>
  <si>
    <t xml:space="preserve">TotalLin</t>
  </si>
  <si>
    <t xml:space="preserve">Requisitos Validade:</t>
  </si>
  <si>
    <t xml:space="preserve">Cor/Raça pessoas Abordadas PMGO</t>
  </si>
  <si>
    <t xml:space="preserve">Branca</t>
  </si>
  <si>
    <t xml:space="preserve">MinEsperado</t>
  </si>
  <si>
    <t xml:space="preserve">Esperado &lt; 5?</t>
  </si>
  <si>
    <t xml:space="preserve">5 &lt;= Esperado &lt;= 10?</t>
  </si>
  <si>
    <t xml:space="preserve">Parda</t>
  </si>
  <si>
    <t xml:space="preserve">Cada Observado é alocado</t>
  </si>
  <si>
    <t xml:space="preserve">Numa e só numa célula.</t>
  </si>
  <si>
    <t xml:space="preserve">Negra</t>
  </si>
  <si>
    <t xml:space="preserve">Legenda de cores</t>
  </si>
  <si>
    <t xml:space="preserve">Porporção (%) Populaçãopor raça/cor</t>
  </si>
  <si>
    <t xml:space="preserve">Abordagens Observadas em cada ano</t>
  </si>
  <si>
    <t xml:space="preserve">Outras</t>
  </si>
  <si>
    <t xml:space="preserve">Valor Esperado supondo Ho Verdadeira</t>
  </si>
  <si>
    <t xml:space="preserve">Valor do Qui-Quadrado calculado</t>
  </si>
  <si>
    <t xml:space="preserve">Nível Significância e Valor Crítico do Teste</t>
  </si>
  <si>
    <t xml:space="preserve">Erro Tipo I</t>
  </si>
  <si>
    <t xml:space="preserve">gl</t>
  </si>
  <si>
    <t xml:space="preserve">Nível de Confiança</t>
  </si>
  <si>
    <t xml:space="preserve">Teste do Qui-Quadrado da Qualidade do Ajuste</t>
  </si>
  <si>
    <t xml:space="preserve">Teste de Hipóteses</t>
  </si>
  <si>
    <t xml:space="preserve">Ho: Proporções de raça/cor são as mesmas na Pop e Abordagens</t>
  </si>
  <si>
    <t xml:space="preserve">Ha: Alguma proporção não é como especificada na Hipótese-nula</t>
  </si>
  <si>
    <t xml:space="preserve">Tamanho da amostra</t>
  </si>
  <si>
    <t xml:space="preserve">n</t>
  </si>
  <si>
    <t xml:space="preserve">Tabela 17 - Teste Qui-Quadrado da qualidade do ajuste das Abordagens da PM-GO ano a ano em face da cor/raça da População do Estado de Goiás</t>
  </si>
  <si>
    <t xml:space="preserve">TotalLinha</t>
  </si>
  <si>
    <t xml:space="preserve">Proporção (%) População por raça/cor</t>
  </si>
  <si>
    <t xml:space="preserve">g.l.</t>
  </si>
  <si>
    <t xml:space="preserve">Ho: Proporções de raça/cor são as mesmas na Pop. e Abordagens</t>
  </si>
  <si>
    <t xml:space="preserve">&lt;Tab 2&gt;</t>
  </si>
  <si>
    <t xml:space="preserve">Satisfação Sexual</t>
  </si>
  <si>
    <t xml:space="preserve">Satisfeito</t>
  </si>
  <si>
    <t xml:space="preserve">Frustrado</t>
  </si>
  <si>
    <t xml:space="preserve">Sentimento do Responden-te</t>
  </si>
  <si>
    <t xml:space="preserve">Alegre</t>
  </si>
  <si>
    <t xml:space="preserve">Esperado&lt;5?</t>
  </si>
  <si>
    <t xml:space="preserve">5 &lt;=Esperado &lt;=10?</t>
  </si>
  <si>
    <t xml:space="preserve">Triste</t>
  </si>
  <si>
    <t xml:space="preserve">TotCol</t>
  </si>
  <si>
    <t xml:space="preserve">Ho: Não há associação (as duas var. cat. são independentes)</t>
  </si>
  <si>
    <t xml:space="preserve">Ha: Há associação entre as duas variáveis categóricas</t>
  </si>
  <si>
    <t xml:space="preserve">k</t>
  </si>
  <si>
    <t xml:space="preserve">C* Coeficiente de Contigência Modificado [0,000 a 1,000 Força]</t>
  </si>
  <si>
    <t xml:space="preserve">Fraca</t>
  </si>
  <si>
    <t xml:space="preserve">Phi Coeficiente de Associação [0,000 menor a 1,000 MaiorForça]</t>
  </si>
  <si>
    <r>
      <rPr>
        <i val="true"/>
        <sz val="11"/>
        <color theme="1"/>
        <rFont val="Calibri"/>
        <family val="2"/>
        <charset val="1"/>
      </rPr>
      <t xml:space="preserve">V</t>
    </r>
    <r>
      <rPr>
        <sz val="11"/>
        <color theme="1"/>
        <rFont val="Calibri"/>
        <family val="2"/>
        <charset val="1"/>
      </rPr>
      <t xml:space="preserve"> de Cramér [0,000 menor a 1,000 Maior Força]</t>
    </r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</si>
</sst>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%"/>
    <numFmt numFmtId="166" formatCode="0.0%"/>
    <numFmt numFmtId="167" formatCode="0.0"/>
    <numFmt numFmtId="168" formatCode="0.000"/>
    <numFmt numFmtId="169" formatCode="General"/>
    <numFmt numFmtId="170" formatCode="0.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i val="true"/>
      <sz val="11"/>
      <color theme="1"/>
      <name val="Calibri"/>
      <family val="2"/>
      <charset val="1"/>
    </font>
    <font>
      <b val="true"/>
      <sz val="10.5"/>
      <color theme="1"/>
      <name val="Calibri"/>
      <family val="2"/>
      <charset val="1"/>
    </font>
    <font>
      <sz val="11"/>
      <color theme="1"/>
      <name val="Cambria Math"/>
      <family val="1"/>
    </font>
    <font>
      <b val="true"/>
      <sz val="11"/>
      <color theme="1"/>
      <name val="Georgia"/>
      <family val="1"/>
      <charset val="1"/>
    </font>
    <font>
      <sz val="11"/>
      <color theme="1"/>
      <name val="Georgia"/>
      <family val="1"/>
      <charset val="1"/>
    </font>
    <font>
      <i val="true"/>
      <sz val="11"/>
      <color theme="1"/>
      <name val="Georgia"/>
      <family val="1"/>
      <charset val="1"/>
    </font>
    <font>
      <sz val="9"/>
      <color theme="1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00B0F0"/>
        <bgColor rgb="FF33CCCC"/>
      </patternFill>
    </fill>
    <fill>
      <patternFill patternType="solid">
        <fgColor theme="2"/>
        <bgColor rgb="FFFFFFCC"/>
      </patternFill>
    </fill>
    <fill>
      <patternFill patternType="solid">
        <fgColor theme="8" tint="0.5999"/>
        <bgColor rgb="FFBDD7EE"/>
      </patternFill>
    </fill>
    <fill>
      <patternFill patternType="solid">
        <fgColor theme="9" tint="0.3999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A9D18E"/>
      </patternFill>
    </fill>
    <fill>
      <patternFill patternType="solid">
        <fgColor rgb="FFFFC000"/>
        <bgColor rgb="FFFF9900"/>
      </patternFill>
    </fill>
    <fill>
      <patternFill patternType="solid">
        <fgColor theme="5" tint="0.3999"/>
        <bgColor rgb="FFFF99CC"/>
      </patternFill>
    </fill>
    <fill>
      <patternFill patternType="solid">
        <fgColor theme="4" tint="0.5999"/>
        <bgColor rgb="FFB4C7E7"/>
      </patternFill>
    </fill>
  </fills>
  <borders count="35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/>
      <right/>
      <top style="thin"/>
      <bottom style="medium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 style="medium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8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3" borderId="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5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2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5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2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2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6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19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2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2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2" borderId="2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4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2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8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6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9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9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3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3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9" borderId="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0" fillId="9" borderId="3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6" borderId="13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3" borderId="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" fillId="5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5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2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6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15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5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9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2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6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6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9" fillId="0" borderId="19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9" fillId="2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2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" fillId="2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2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8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9" fillId="0" borderId="2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28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9" fillId="6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29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9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3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3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8" borderId="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3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9" fillId="8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8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6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4" borderId="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1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10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8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6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0" borderId="22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10" borderId="3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2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9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13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8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A9D18E"/>
      <rgbColor rgb="FFFF99CC"/>
      <rgbColor rgb="FFCC99FF"/>
      <rgbColor rgb="FFF4B183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529920</xdr:colOff>
      <xdr:row>0</xdr:row>
      <xdr:rowOff>31680</xdr:rowOff>
    </xdr:from>
    <xdr:to>
      <xdr:col>2</xdr:col>
      <xdr:colOff>72000</xdr:colOff>
      <xdr:row>0</xdr:row>
      <xdr:rowOff>171720</xdr:rowOff>
    </xdr:to>
    <xdr:sp>
      <xdr:nvSpPr>
        <xdr:cNvPr id="0" name="CaixaDeTexto 1"/>
        <xdr:cNvSpPr/>
      </xdr:nvSpPr>
      <xdr:spPr>
        <a:xfrm>
          <a:off x="632160" y="31680"/>
          <a:ext cx="234360" cy="1400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0" rIns="0" tIns="0" bIns="0" anchor="t">
          <a:spAutoFit/>
        </a:bodyPr>
        <a:p>
          <a:pPr>
            <a:lnSpc>
              <a:spcPct val="100000"/>
            </a:lnSpc>
          </a:pPr>
          <a:r>
            <a:rPr b="0" lang="el-GR" sz="1100" spc="-1" strike="noStrike">
              <a:solidFill>
                <a:schemeClr val="dk1"/>
              </a:solidFill>
              <a:latin typeface="Cambria Math"/>
            </a:rPr>
            <a:t>Χ</a:t>
          </a:r>
          <a:r>
            <a:rPr b="0" lang="pt-BR" sz="1100" spc="-1" strike="noStrike">
              <a:solidFill>
                <a:schemeClr val="dk1"/>
              </a:solidFill>
              <a:latin typeface="Cambria Math"/>
            </a:rPr>
            <a:t>^2</a:t>
          </a:r>
          <a:endParaRPr b="0" lang="pt-BR" sz="1100" spc="-1" strike="noStrike">
            <a:latin typeface="Times New Roman"/>
          </a:endParaRPr>
        </a:p>
      </xdr:txBody>
    </xdr:sp>
    <xdr:clientData/>
  </xdr:twoCellAnchor>
  <xdr:twoCellAnchor editAs="oneCell">
    <xdr:from>
      <xdr:col>2</xdr:col>
      <xdr:colOff>77040</xdr:colOff>
      <xdr:row>15</xdr:row>
      <xdr:rowOff>12600</xdr:rowOff>
    </xdr:from>
    <xdr:to>
      <xdr:col>2</xdr:col>
      <xdr:colOff>584640</xdr:colOff>
      <xdr:row>15</xdr:row>
      <xdr:rowOff>152640</xdr:rowOff>
    </xdr:to>
    <xdr:sp>
      <xdr:nvSpPr>
        <xdr:cNvPr id="1" name="CaixaDeTexto 2"/>
        <xdr:cNvSpPr/>
      </xdr:nvSpPr>
      <xdr:spPr>
        <a:xfrm>
          <a:off x="871560" y="2727360"/>
          <a:ext cx="507600" cy="1400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0" rIns="0" tIns="0" bIns="0" anchor="t">
          <a:spAutoFit/>
        </a:bodyPr>
        <a:p>
          <a:pPr>
            <a:lnSpc>
              <a:spcPct val="100000"/>
            </a:lnSpc>
          </a:pPr>
          <a:r>
            <a:rPr b="0" lang="pt-BR" sz="1100" spc="-1" strike="noStrike">
              <a:solidFill>
                <a:schemeClr val="dk1"/>
              </a:solidFill>
              <a:latin typeface="Cambria Math"/>
            </a:rPr>
            <a:t>𝑋</a:t>
          </a:r>
          <a:r>
            <a:rPr b="0" lang="pt-BR" sz="1100" spc="-1" strike="noStrike">
              <a:solidFill>
                <a:schemeClr val="dk1"/>
              </a:solidFill>
              <a:latin typeface="Cambria Math"/>
            </a:rPr>
            <a:t>^2 𝑎𝑛𝑜</a:t>
          </a:r>
          <a:endParaRPr b="0" lang="pt-BR" sz="1100" spc="-1" strike="noStrike">
            <a:latin typeface="Times New Roman"/>
          </a:endParaRPr>
        </a:p>
      </xdr:txBody>
    </xdr:sp>
    <xdr:clientData/>
  </xdr:twoCellAnchor>
  <xdr:twoCellAnchor editAs="oneCell">
    <xdr:from>
      <xdr:col>6</xdr:col>
      <xdr:colOff>23400</xdr:colOff>
      <xdr:row>17</xdr:row>
      <xdr:rowOff>15840</xdr:rowOff>
    </xdr:from>
    <xdr:to>
      <xdr:col>7</xdr:col>
      <xdr:colOff>131760</xdr:colOff>
      <xdr:row>17</xdr:row>
      <xdr:rowOff>155880</xdr:rowOff>
    </xdr:to>
    <xdr:sp>
      <xdr:nvSpPr>
        <xdr:cNvPr id="2" name="CaixaDeTexto 3"/>
        <xdr:cNvSpPr/>
      </xdr:nvSpPr>
      <xdr:spPr>
        <a:xfrm>
          <a:off x="3399120" y="3092400"/>
          <a:ext cx="703800" cy="1400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0" rIns="0" tIns="0" bIns="0" anchor="t">
          <a:spAutoFit/>
        </a:bodyPr>
        <a:p>
          <a:pPr>
            <a:lnSpc>
              <a:spcPct val="100000"/>
            </a:lnSpc>
          </a:pPr>
          <a:r>
            <a:rPr b="0" lang="pt-BR" sz="1100" spc="-1" strike="noStrike">
              <a:solidFill>
                <a:schemeClr val="dk1"/>
              </a:solidFill>
              <a:latin typeface="Cambria Math"/>
            </a:rPr>
            <a:t>𝑋</a:t>
          </a:r>
          <a:r>
            <a:rPr b="0" lang="pt-BR" sz="1100" spc="-1" strike="noStrike">
              <a:solidFill>
                <a:schemeClr val="dk1"/>
              </a:solidFill>
              <a:latin typeface="Cambria Math"/>
            </a:rPr>
            <a:t>_𝑐𝑟í𝑡𝑖𝑐𝑜^2</a:t>
          </a:r>
          <a:endParaRPr b="0" lang="pt-BR" sz="1100" spc="-1" strike="noStrike">
            <a:latin typeface="Times New Roman"/>
          </a:endParaRPr>
        </a:p>
      </xdr:txBody>
    </xdr:sp>
    <xdr:clientData/>
  </xdr:twoCellAnchor>
  <xdr:twoCellAnchor editAs="oneCell">
    <xdr:from>
      <xdr:col>4</xdr:col>
      <xdr:colOff>336960</xdr:colOff>
      <xdr:row>16</xdr:row>
      <xdr:rowOff>130320</xdr:rowOff>
    </xdr:from>
    <xdr:to>
      <xdr:col>4</xdr:col>
      <xdr:colOff>552240</xdr:colOff>
      <xdr:row>17</xdr:row>
      <xdr:rowOff>89280</xdr:rowOff>
    </xdr:to>
    <xdr:sp>
      <xdr:nvSpPr>
        <xdr:cNvPr id="3" name="CaixaDeTexto 4"/>
        <xdr:cNvSpPr/>
      </xdr:nvSpPr>
      <xdr:spPr>
        <a:xfrm>
          <a:off x="2521440" y="3025800"/>
          <a:ext cx="215280" cy="1400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0" rIns="0" tIns="0" bIns="0" anchor="t">
          <a:spAutoFit/>
        </a:bodyPr>
        <a:p>
          <a:pPr>
            <a:lnSpc>
              <a:spcPct val="100000"/>
            </a:lnSpc>
          </a:pPr>
          <a:r>
            <a:rPr b="0" lang="pt-BR" sz="1100" spc="-1" strike="noStrike">
              <a:solidFill>
                <a:schemeClr val="dk1"/>
              </a:solidFill>
              <a:latin typeface="Cambria Math"/>
              <a:ea typeface="Cambria Math"/>
            </a:rPr>
            <a:t>(∝)</a:t>
          </a:r>
          <a:endParaRPr b="0" lang="pt-BR" sz="1100" spc="-1" strike="noStrike"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815760</xdr:colOff>
      <xdr:row>1</xdr:row>
      <xdr:rowOff>41040</xdr:rowOff>
    </xdr:from>
    <xdr:to>
      <xdr:col>2</xdr:col>
      <xdr:colOff>50760</xdr:colOff>
      <xdr:row>1</xdr:row>
      <xdr:rowOff>181080</xdr:rowOff>
    </xdr:to>
    <xdr:sp>
      <xdr:nvSpPr>
        <xdr:cNvPr id="4" name="CaixaDeTexto 1"/>
        <xdr:cNvSpPr/>
      </xdr:nvSpPr>
      <xdr:spPr>
        <a:xfrm>
          <a:off x="918000" y="222120"/>
          <a:ext cx="234360" cy="1400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0" rIns="0" tIns="0" bIns="0" anchor="t">
          <a:spAutoFit/>
        </a:bodyPr>
        <a:p>
          <a:pPr>
            <a:lnSpc>
              <a:spcPct val="100000"/>
            </a:lnSpc>
          </a:pPr>
          <a:r>
            <a:rPr b="0" lang="el-GR" sz="1100" spc="-1" strike="noStrike">
              <a:solidFill>
                <a:schemeClr val="dk1"/>
              </a:solidFill>
              <a:latin typeface="Cambria Math"/>
            </a:rPr>
            <a:t>Χ</a:t>
          </a:r>
          <a:r>
            <a:rPr b="0" lang="pt-BR" sz="1100" spc="-1" strike="noStrike">
              <a:solidFill>
                <a:schemeClr val="dk1"/>
              </a:solidFill>
              <a:latin typeface="Cambria Math"/>
            </a:rPr>
            <a:t>^2</a:t>
          </a:r>
          <a:endParaRPr b="0" lang="pt-BR" sz="1100" spc="-1" strike="noStrike">
            <a:latin typeface="Times New Roman"/>
          </a:endParaRPr>
        </a:p>
      </xdr:txBody>
    </xdr:sp>
    <xdr:clientData/>
  </xdr:twoCellAnchor>
  <xdr:twoCellAnchor editAs="oneCell">
    <xdr:from>
      <xdr:col>2</xdr:col>
      <xdr:colOff>77040</xdr:colOff>
      <xdr:row>16</xdr:row>
      <xdr:rowOff>130320</xdr:rowOff>
    </xdr:from>
    <xdr:to>
      <xdr:col>2</xdr:col>
      <xdr:colOff>584640</xdr:colOff>
      <xdr:row>17</xdr:row>
      <xdr:rowOff>89280</xdr:rowOff>
    </xdr:to>
    <xdr:sp>
      <xdr:nvSpPr>
        <xdr:cNvPr id="5" name="CaixaDeTexto 2"/>
        <xdr:cNvSpPr/>
      </xdr:nvSpPr>
      <xdr:spPr>
        <a:xfrm>
          <a:off x="1178640" y="3025800"/>
          <a:ext cx="507600" cy="1400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0" rIns="0" tIns="0" bIns="0" anchor="t">
          <a:spAutoFit/>
        </a:bodyPr>
        <a:p>
          <a:pPr>
            <a:lnSpc>
              <a:spcPct val="100000"/>
            </a:lnSpc>
          </a:pPr>
          <a:r>
            <a:rPr b="0" lang="pt-BR" sz="1100" spc="-1" strike="noStrike">
              <a:solidFill>
                <a:schemeClr val="dk1"/>
              </a:solidFill>
              <a:latin typeface="Cambria Math"/>
            </a:rPr>
            <a:t>𝑋</a:t>
          </a:r>
          <a:r>
            <a:rPr b="0" lang="pt-BR" sz="1100" spc="-1" strike="noStrike">
              <a:solidFill>
                <a:schemeClr val="dk1"/>
              </a:solidFill>
              <a:latin typeface="Cambria Math"/>
            </a:rPr>
            <a:t>^2 𝑎𝑛𝑜</a:t>
          </a:r>
          <a:endParaRPr b="0" lang="pt-BR" sz="1100" spc="-1" strike="noStrike">
            <a:latin typeface="Times New Roman"/>
          </a:endParaRPr>
        </a:p>
      </xdr:txBody>
    </xdr:sp>
    <xdr:clientData/>
  </xdr:twoCellAnchor>
  <xdr:twoCellAnchor editAs="oneCell">
    <xdr:from>
      <xdr:col>6</xdr:col>
      <xdr:colOff>122760</xdr:colOff>
      <xdr:row>18</xdr:row>
      <xdr:rowOff>133200</xdr:rowOff>
    </xdr:from>
    <xdr:to>
      <xdr:col>7</xdr:col>
      <xdr:colOff>90000</xdr:colOff>
      <xdr:row>19</xdr:row>
      <xdr:rowOff>92520</xdr:rowOff>
    </xdr:to>
    <xdr:sp>
      <xdr:nvSpPr>
        <xdr:cNvPr id="6" name="CaixaDeTexto 3"/>
        <xdr:cNvSpPr/>
      </xdr:nvSpPr>
      <xdr:spPr>
        <a:xfrm>
          <a:off x="4037040" y="3390840"/>
          <a:ext cx="703800" cy="1400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0" rIns="0" tIns="0" bIns="0" anchor="t">
          <a:spAutoFit/>
        </a:bodyPr>
        <a:p>
          <a:pPr>
            <a:lnSpc>
              <a:spcPct val="100000"/>
            </a:lnSpc>
          </a:pPr>
          <a:r>
            <a:rPr b="0" lang="pt-BR" sz="1100" spc="-1" strike="noStrike">
              <a:solidFill>
                <a:schemeClr val="dk1"/>
              </a:solidFill>
              <a:latin typeface="Cambria Math"/>
            </a:rPr>
            <a:t>𝑋</a:t>
          </a:r>
          <a:r>
            <a:rPr b="0" lang="pt-BR" sz="1100" spc="-1" strike="noStrike">
              <a:solidFill>
                <a:schemeClr val="dk1"/>
              </a:solidFill>
              <a:latin typeface="Cambria Math"/>
            </a:rPr>
            <a:t>_𝑐𝑟í𝑡𝑖𝑐𝑜^2</a:t>
          </a:r>
          <a:endParaRPr b="0" lang="pt-BR" sz="1100" spc="-1" strike="noStrike">
            <a:latin typeface="Times New Roman"/>
          </a:endParaRPr>
        </a:p>
      </xdr:txBody>
    </xdr:sp>
    <xdr:clientData/>
  </xdr:twoCellAnchor>
  <xdr:twoCellAnchor editAs="oneCell">
    <xdr:from>
      <xdr:col>4</xdr:col>
      <xdr:colOff>406800</xdr:colOff>
      <xdr:row>17</xdr:row>
      <xdr:rowOff>139680</xdr:rowOff>
    </xdr:from>
    <xdr:to>
      <xdr:col>4</xdr:col>
      <xdr:colOff>622080</xdr:colOff>
      <xdr:row>18</xdr:row>
      <xdr:rowOff>98640</xdr:rowOff>
    </xdr:to>
    <xdr:sp>
      <xdr:nvSpPr>
        <xdr:cNvPr id="7" name="CaixaDeTexto 4"/>
        <xdr:cNvSpPr/>
      </xdr:nvSpPr>
      <xdr:spPr>
        <a:xfrm>
          <a:off x="2981880" y="3216240"/>
          <a:ext cx="215280" cy="1400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0" rIns="0" tIns="0" bIns="0" anchor="t">
          <a:spAutoFit/>
        </a:bodyPr>
        <a:p>
          <a:pPr>
            <a:lnSpc>
              <a:spcPct val="100000"/>
            </a:lnSpc>
          </a:pPr>
          <a:r>
            <a:rPr b="0" lang="pt-BR" sz="1100" spc="-1" strike="noStrike">
              <a:solidFill>
                <a:schemeClr val="dk1"/>
              </a:solidFill>
              <a:latin typeface="Cambria Math"/>
              <a:ea typeface="Cambria Math"/>
            </a:rPr>
            <a:t>(∝)</a:t>
          </a:r>
          <a:endParaRPr b="0" lang="pt-BR" sz="1100" spc="-1" strike="noStrike">
            <a:latin typeface="Times New Roman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529920</xdr:colOff>
      <xdr:row>0</xdr:row>
      <xdr:rowOff>31680</xdr:rowOff>
    </xdr:from>
    <xdr:to>
      <xdr:col>2</xdr:col>
      <xdr:colOff>168840</xdr:colOff>
      <xdr:row>0</xdr:row>
      <xdr:rowOff>171720</xdr:rowOff>
    </xdr:to>
    <xdr:sp>
      <xdr:nvSpPr>
        <xdr:cNvPr id="8" name="CaixaDeTexto 1"/>
        <xdr:cNvSpPr/>
      </xdr:nvSpPr>
      <xdr:spPr>
        <a:xfrm>
          <a:off x="1125720" y="31680"/>
          <a:ext cx="234360" cy="1400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0" rIns="0" tIns="0" bIns="0" anchor="t">
          <a:spAutoFit/>
        </a:bodyPr>
        <a:p>
          <a:pPr>
            <a:lnSpc>
              <a:spcPct val="100000"/>
            </a:lnSpc>
          </a:pPr>
          <a:r>
            <a:rPr b="0" lang="el-GR" sz="1100" spc="-1" strike="noStrike">
              <a:solidFill>
                <a:schemeClr val="dk1"/>
              </a:solidFill>
              <a:latin typeface="Cambria Math"/>
            </a:rPr>
            <a:t>Χ</a:t>
          </a:r>
          <a:r>
            <a:rPr b="0" lang="pt-BR" sz="1100" spc="-1" strike="noStrike">
              <a:solidFill>
                <a:schemeClr val="dk1"/>
              </a:solidFill>
              <a:latin typeface="Cambria Math"/>
            </a:rPr>
            <a:t>^2</a:t>
          </a:r>
          <a:endParaRPr b="0" lang="pt-BR" sz="1100" spc="-1" strike="noStrike">
            <a:latin typeface="Times New Roman"/>
          </a:endParaRPr>
        </a:p>
      </xdr:txBody>
    </xdr:sp>
    <xdr:clientData/>
  </xdr:twoCellAnchor>
  <xdr:twoCellAnchor editAs="oneCell">
    <xdr:from>
      <xdr:col>8</xdr:col>
      <xdr:colOff>225360</xdr:colOff>
      <xdr:row>10</xdr:row>
      <xdr:rowOff>22320</xdr:rowOff>
    </xdr:from>
    <xdr:to>
      <xdr:col>8</xdr:col>
      <xdr:colOff>459360</xdr:colOff>
      <xdr:row>10</xdr:row>
      <xdr:rowOff>162360</xdr:rowOff>
    </xdr:to>
    <xdr:sp>
      <xdr:nvSpPr>
        <xdr:cNvPr id="9" name="CaixaDeTexto 2"/>
        <xdr:cNvSpPr/>
      </xdr:nvSpPr>
      <xdr:spPr>
        <a:xfrm>
          <a:off x="4990320" y="1832040"/>
          <a:ext cx="234000" cy="1400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0" rIns="0" tIns="0" bIns="0" anchor="t">
          <a:spAutoFit/>
        </a:bodyPr>
        <a:p>
          <a:pPr>
            <a:lnSpc>
              <a:spcPct val="100000"/>
            </a:lnSpc>
          </a:pPr>
          <a:r>
            <a:rPr b="0" lang="pt-BR" sz="1100" spc="-1" strike="noStrike">
              <a:solidFill>
                <a:schemeClr val="dk1"/>
              </a:solidFill>
              <a:latin typeface="Cambria Math"/>
            </a:rPr>
            <a:t>X^2</a:t>
          </a:r>
          <a:endParaRPr b="0" lang="pt-BR" sz="1100" spc="-1" strike="noStrike">
            <a:latin typeface="Times New Roman"/>
          </a:endParaRPr>
        </a:p>
      </xdr:txBody>
    </xdr:sp>
    <xdr:clientData/>
  </xdr:twoCellAnchor>
  <xdr:twoCellAnchor editAs="oneCell">
    <xdr:from>
      <xdr:col>6</xdr:col>
      <xdr:colOff>151200</xdr:colOff>
      <xdr:row>11</xdr:row>
      <xdr:rowOff>9360</xdr:rowOff>
    </xdr:from>
    <xdr:to>
      <xdr:col>6</xdr:col>
      <xdr:colOff>511560</xdr:colOff>
      <xdr:row>11</xdr:row>
      <xdr:rowOff>149400</xdr:rowOff>
    </xdr:to>
    <xdr:sp>
      <xdr:nvSpPr>
        <xdr:cNvPr id="10" name="CaixaDeTexto 3"/>
        <xdr:cNvSpPr/>
      </xdr:nvSpPr>
      <xdr:spPr>
        <a:xfrm>
          <a:off x="3724920" y="2000160"/>
          <a:ext cx="360360" cy="1400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0" rIns="0" tIns="0" bIns="0" anchor="t">
          <a:spAutoFit/>
        </a:bodyPr>
        <a:p>
          <a:pPr>
            <a:lnSpc>
              <a:spcPct val="100000"/>
            </a:lnSpc>
          </a:pPr>
          <a:r>
            <a:rPr b="0" lang="pt-BR" sz="1100" spc="-1" strike="noStrike">
              <a:solidFill>
                <a:schemeClr val="dk1"/>
              </a:solidFill>
              <a:latin typeface="Cambria Math"/>
            </a:rPr>
            <a:t>𝑋</a:t>
          </a:r>
          <a:r>
            <a:rPr b="0" lang="pt-BR" sz="1100" spc="-1" strike="noStrike">
              <a:solidFill>
                <a:schemeClr val="dk1"/>
              </a:solidFill>
              <a:latin typeface="Cambria Math"/>
            </a:rPr>
            <a:t>_𝑐^2</a:t>
          </a:r>
          <a:endParaRPr b="0" lang="pt-BR" sz="1100" spc="-1" strike="noStrike">
            <a:latin typeface="Times New Roman"/>
          </a:endParaRPr>
        </a:p>
      </xdr:txBody>
    </xdr:sp>
    <xdr:clientData/>
  </xdr:twoCellAnchor>
  <xdr:twoCellAnchor editAs="oneCell">
    <xdr:from>
      <xdr:col>4</xdr:col>
      <xdr:colOff>336960</xdr:colOff>
      <xdr:row>10</xdr:row>
      <xdr:rowOff>9360</xdr:rowOff>
    </xdr:from>
    <xdr:to>
      <xdr:col>4</xdr:col>
      <xdr:colOff>552240</xdr:colOff>
      <xdr:row>10</xdr:row>
      <xdr:rowOff>149400</xdr:rowOff>
    </xdr:to>
    <xdr:sp>
      <xdr:nvSpPr>
        <xdr:cNvPr id="11" name="CaixaDeTexto 4"/>
        <xdr:cNvSpPr/>
      </xdr:nvSpPr>
      <xdr:spPr>
        <a:xfrm>
          <a:off x="2719440" y="1819080"/>
          <a:ext cx="215280" cy="1400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0" rIns="0" tIns="0" bIns="0" anchor="t">
          <a:spAutoFit/>
        </a:bodyPr>
        <a:p>
          <a:pPr>
            <a:lnSpc>
              <a:spcPct val="100000"/>
            </a:lnSpc>
          </a:pPr>
          <a:r>
            <a:rPr b="0" lang="pt-BR" sz="1100" spc="-1" strike="noStrike">
              <a:solidFill>
                <a:schemeClr val="dk1"/>
              </a:solidFill>
              <a:latin typeface="Cambria Math"/>
              <a:ea typeface="Cambria Math"/>
            </a:rPr>
            <a:t>(∝)</a:t>
          </a:r>
          <a:endParaRPr b="0" lang="pt-BR" sz="1100" spc="-1" strike="noStrike"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P25" activeCellId="0" sqref="P25"/>
    </sheetView>
  </sheetViews>
  <sheetFormatPr defaultColWidth="8.453125" defaultRowHeight="14.25" zeroHeight="false" outlineLevelRow="0" outlineLevelCol="0"/>
  <cols>
    <col collapsed="false" customWidth="true" hidden="false" outlineLevel="0" max="1" min="1" style="0" width="1.45"/>
    <col collapsed="false" customWidth="true" hidden="false" outlineLevel="0" max="2" min="2" style="0" width="9.82"/>
    <col collapsed="false" customWidth="true" hidden="false" outlineLevel="0" max="3" min="3" style="0" width="11.27"/>
    <col collapsed="false" customWidth="true" hidden="false" outlineLevel="0" max="8" min="8" style="0" width="9.18"/>
    <col collapsed="false" customWidth="true" hidden="false" outlineLevel="0" max="9" min="9" style="0" width="9.27"/>
    <col collapsed="false" customWidth="true" hidden="false" outlineLevel="0" max="13" min="12" style="0" width="1.91"/>
    <col collapsed="false" customWidth="true" hidden="false" outlineLevel="0" max="14" min="14" style="0" width="12.54"/>
  </cols>
  <sheetData>
    <row r="1" customFormat="false" ht="14.25" hidden="false" customHeight="false" outlineLevel="0" collapsed="false">
      <c r="A1" s="1"/>
      <c r="B1" s="2" t="s">
        <v>0</v>
      </c>
      <c r="C1" s="2"/>
      <c r="D1" s="3" t="s">
        <v>1</v>
      </c>
      <c r="E1" s="3"/>
      <c r="F1" s="3"/>
      <c r="G1" s="3"/>
      <c r="H1" s="3"/>
      <c r="I1" s="3"/>
      <c r="J1" s="4" t="s">
        <v>2</v>
      </c>
      <c r="K1" s="4" t="n">
        <v>4</v>
      </c>
      <c r="L1" s="5"/>
    </row>
    <row r="2" customFormat="false" ht="14.25" hidden="false" customHeight="false" outlineLevel="0" collapsed="false">
      <c r="A2" s="6"/>
      <c r="B2" s="2"/>
      <c r="C2" s="2"/>
      <c r="D2" s="7" t="n">
        <v>2016</v>
      </c>
      <c r="E2" s="7"/>
      <c r="F2" s="8" t="n">
        <v>2017</v>
      </c>
      <c r="G2" s="8"/>
      <c r="H2" s="9" t="n">
        <v>2018</v>
      </c>
      <c r="I2" s="9"/>
      <c r="J2" s="4"/>
      <c r="K2" s="4"/>
      <c r="L2" s="5"/>
      <c r="N2" s="10" t="s">
        <v>3</v>
      </c>
      <c r="O2" s="10"/>
    </row>
    <row r="3" customFormat="false" ht="14.25" hidden="false" customHeight="true" outlineLevel="0" collapsed="false">
      <c r="A3" s="6"/>
      <c r="B3" s="11" t="s">
        <v>4</v>
      </c>
      <c r="C3" s="12" t="s">
        <v>5</v>
      </c>
      <c r="D3" s="13" t="n">
        <v>0.361</v>
      </c>
      <c r="E3" s="14" t="n">
        <f aca="false">$D$15*D3</f>
        <v>1794.531</v>
      </c>
      <c r="F3" s="13" t="n">
        <v>0.357</v>
      </c>
      <c r="G3" s="14" t="n">
        <f aca="false">$F$15*F3</f>
        <v>2662.149</v>
      </c>
      <c r="H3" s="13" t="n">
        <v>0.358</v>
      </c>
      <c r="I3" s="14" t="n">
        <f aca="false">$H$15*H3</f>
        <v>1047.866</v>
      </c>
      <c r="J3" s="15"/>
      <c r="K3" s="16"/>
      <c r="N3" s="17" t="s">
        <v>6</v>
      </c>
      <c r="O3" s="18" t="n">
        <f aca="false">MIN(E3,G3,I3,E6,G6,I6,E9,G9,I9,E12,G12,I12)</f>
        <v>29.27</v>
      </c>
    </row>
    <row r="4" customFormat="false" ht="14.25" hidden="false" customHeight="false" outlineLevel="0" collapsed="false">
      <c r="A4" s="6"/>
      <c r="B4" s="11"/>
      <c r="C4" s="12"/>
      <c r="D4" s="19" t="n">
        <v>1776</v>
      </c>
      <c r="E4" s="20" t="n">
        <f aca="false">D4/$J$4</f>
        <v>0.326530612244898</v>
      </c>
      <c r="F4" s="21" t="n">
        <v>2643</v>
      </c>
      <c r="G4" s="20" t="n">
        <f aca="false">F4/$J$4</f>
        <v>0.485934914506343</v>
      </c>
      <c r="H4" s="21" t="n">
        <v>1020</v>
      </c>
      <c r="I4" s="22" t="n">
        <f aca="false">H4/$J$4</f>
        <v>0.187534473248759</v>
      </c>
      <c r="J4" s="19" t="n">
        <f aca="false">D4+F4+H4</f>
        <v>5439</v>
      </c>
      <c r="K4" s="23" t="n">
        <f aca="false">E4+G4+I4</f>
        <v>1</v>
      </c>
      <c r="L4" s="24"/>
      <c r="N4" s="25" t="s">
        <v>7</v>
      </c>
      <c r="O4" s="25" t="str">
        <f aca="false">IF(O3&lt;5,"sim","não")</f>
        <v>não</v>
      </c>
    </row>
    <row r="5" customFormat="false" ht="14.25" hidden="false" customHeight="false" outlineLevel="0" collapsed="false">
      <c r="A5" s="6"/>
      <c r="B5" s="11"/>
      <c r="C5" s="12"/>
      <c r="D5" s="26" t="n">
        <f aca="false">D4/D15</f>
        <v>0.357272178636089</v>
      </c>
      <c r="E5" s="27" t="n">
        <f aca="false">(D4-E3)*(D4-E3)/E3</f>
        <v>0.191358054555758</v>
      </c>
      <c r="F5" s="20" t="n">
        <f aca="false">F4/F15</f>
        <v>0.354432077242859</v>
      </c>
      <c r="G5" s="27" t="n">
        <f aca="false">(F4-G3)*(F4-G3)/G3</f>
        <v>0.137739924023785</v>
      </c>
      <c r="H5" s="20" t="n">
        <f aca="false">H4/H15</f>
        <v>0.348479672019132</v>
      </c>
      <c r="I5" s="28" t="n">
        <f aca="false">(H4-I3)*(H4-I3)/I3</f>
        <v>0.741043183002406</v>
      </c>
      <c r="J5" s="26" t="n">
        <f aca="false">J4/J15</f>
        <v>0.35421686746988</v>
      </c>
      <c r="K5" s="29"/>
      <c r="N5" s="30" t="s">
        <v>8</v>
      </c>
      <c r="O5" s="30"/>
      <c r="P5" s="25" t="str">
        <f aca="false">IF(O3&gt;=5,IF(O3&lt;=10,"sim","não"))</f>
        <v>não</v>
      </c>
    </row>
    <row r="6" customFormat="false" ht="14.25" hidden="false" customHeight="false" outlineLevel="0" collapsed="false">
      <c r="A6" s="6"/>
      <c r="B6" s="11"/>
      <c r="C6" s="31" t="s">
        <v>9</v>
      </c>
      <c r="D6" s="13" t="n">
        <v>0.568</v>
      </c>
      <c r="E6" s="14" t="n">
        <f aca="false">$D$15*D6</f>
        <v>2823.528</v>
      </c>
      <c r="F6" s="13" t="n">
        <v>0.56</v>
      </c>
      <c r="G6" s="14" t="n">
        <f aca="false">$F$15*F6</f>
        <v>4175.92</v>
      </c>
      <c r="H6" s="13" t="n">
        <v>0.54</v>
      </c>
      <c r="I6" s="14" t="n">
        <f aca="false">$H$15*H6</f>
        <v>1580.58</v>
      </c>
      <c r="J6" s="32"/>
      <c r="K6" s="29"/>
      <c r="N6" s="33" t="s">
        <v>10</v>
      </c>
      <c r="O6" s="33"/>
      <c r="P6" s="33"/>
    </row>
    <row r="7" customFormat="false" ht="14.25" hidden="false" customHeight="false" outlineLevel="0" collapsed="false">
      <c r="A7" s="6"/>
      <c r="B7" s="11"/>
      <c r="C7" s="31"/>
      <c r="D7" s="19" t="n">
        <v>2738</v>
      </c>
      <c r="E7" s="20" t="n">
        <f aca="false">D7/$J$7</f>
        <v>0.327198852772467</v>
      </c>
      <c r="F7" s="21" t="n">
        <v>4027</v>
      </c>
      <c r="G7" s="20" t="n">
        <f aca="false">F7/$J$7</f>
        <v>0.481238049713193</v>
      </c>
      <c r="H7" s="21" t="n">
        <v>1603</v>
      </c>
      <c r="I7" s="22" t="n">
        <f aca="false">H7/$J$7</f>
        <v>0.19156309751434</v>
      </c>
      <c r="J7" s="19" t="n">
        <f aca="false">D7+F7+H7</f>
        <v>8368</v>
      </c>
      <c r="K7" s="23" t="n">
        <f aca="false">E7+G7+I7</f>
        <v>1</v>
      </c>
      <c r="L7" s="24"/>
      <c r="N7" s="34" t="s">
        <v>11</v>
      </c>
      <c r="O7" s="34"/>
      <c r="P7" s="34"/>
    </row>
    <row r="8" customFormat="false" ht="14.25" hidden="false" customHeight="false" outlineLevel="0" collapsed="false">
      <c r="A8" s="6"/>
      <c r="B8" s="11"/>
      <c r="C8" s="31"/>
      <c r="D8" s="35" t="n">
        <f aca="false">D7/D15</f>
        <v>0.550794608730638</v>
      </c>
      <c r="E8" s="36" t="n">
        <f aca="false">(D7-E6)*(D7-E6)/E6</f>
        <v>2.59074419803875</v>
      </c>
      <c r="F8" s="37" t="n">
        <f aca="false">F7/F15</f>
        <v>0.54002950248089</v>
      </c>
      <c r="G8" s="38" t="n">
        <f aca="false">(F7-G6)*(F7-G6)/G6</f>
        <v>5.31072587597464</v>
      </c>
      <c r="H8" s="37" t="n">
        <f aca="false">H7/H15</f>
        <v>0.547659719849675</v>
      </c>
      <c r="I8" s="39" t="n">
        <f aca="false">(H7-I6)*(H7-I6)/I6</f>
        <v>0.318020220425409</v>
      </c>
      <c r="J8" s="35" t="n">
        <f aca="false">J7/J15</f>
        <v>0.544969065450993</v>
      </c>
      <c r="K8" s="40"/>
    </row>
    <row r="9" customFormat="false" ht="14.25" hidden="false" customHeight="false" outlineLevel="0" collapsed="false">
      <c r="A9" s="6"/>
      <c r="B9" s="11"/>
      <c r="C9" s="41" t="s">
        <v>12</v>
      </c>
      <c r="D9" s="13" t="n">
        <v>0.064</v>
      </c>
      <c r="E9" s="14" t="n">
        <f aca="false">$D$15*D9</f>
        <v>318.144</v>
      </c>
      <c r="F9" s="13" t="n">
        <v>0.076</v>
      </c>
      <c r="G9" s="14" t="n">
        <f aca="false">$F$15*F9</f>
        <v>566.732</v>
      </c>
      <c r="H9" s="13" t="n">
        <v>0.092</v>
      </c>
      <c r="I9" s="14" t="n">
        <f aca="false">$H$15*H9</f>
        <v>269.284</v>
      </c>
      <c r="J9" s="15"/>
      <c r="K9" s="16"/>
      <c r="N9" s="42" t="s">
        <v>13</v>
      </c>
      <c r="O9" s="42"/>
      <c r="P9" s="42"/>
      <c r="Q9" s="42"/>
    </row>
    <row r="10" customFormat="false" ht="14.25" hidden="false" customHeight="false" outlineLevel="0" collapsed="false">
      <c r="A10" s="6"/>
      <c r="B10" s="11"/>
      <c r="C10" s="41"/>
      <c r="D10" s="19" t="n">
        <v>394</v>
      </c>
      <c r="E10" s="20" t="n">
        <f aca="false">D10/$J$10</f>
        <v>0.312202852614897</v>
      </c>
      <c r="F10" s="21" t="n">
        <v>607</v>
      </c>
      <c r="G10" s="20" t="n">
        <f aca="false">F10/$J$10</f>
        <v>0.480982567353407</v>
      </c>
      <c r="H10" s="21" t="n">
        <v>261</v>
      </c>
      <c r="I10" s="22" t="n">
        <f aca="false">H10/$J$10</f>
        <v>0.206814580031696</v>
      </c>
      <c r="J10" s="19" t="n">
        <f aca="false">D10+F10+H10</f>
        <v>1262</v>
      </c>
      <c r="K10" s="23" t="n">
        <f aca="false">E10+G10+I10</f>
        <v>1</v>
      </c>
      <c r="L10" s="24"/>
      <c r="M10" s="43"/>
      <c r="N10" s="44" t="s">
        <v>14</v>
      </c>
      <c r="O10" s="44"/>
      <c r="P10" s="44"/>
      <c r="Q10" s="44"/>
    </row>
    <row r="11" customFormat="false" ht="14.25" hidden="false" customHeight="false" outlineLevel="0" collapsed="false">
      <c r="A11" s="6"/>
      <c r="B11" s="11"/>
      <c r="C11" s="41"/>
      <c r="D11" s="26" t="n">
        <f aca="false">D10/D15</f>
        <v>0.0792597062965198</v>
      </c>
      <c r="E11" s="45" t="n">
        <f aca="false">(D10-E9)*(D10-E9)/E9</f>
        <v>18.0865668879501</v>
      </c>
      <c r="F11" s="20" t="n">
        <f aca="false">F10/F15</f>
        <v>0.0814000268204372</v>
      </c>
      <c r="G11" s="27" t="n">
        <f aca="false">(F10-G9)*(F10-G9)/G9</f>
        <v>2.86116157901795</v>
      </c>
      <c r="H11" s="20" t="n">
        <f aca="false">H10/H15</f>
        <v>0.089169798428425</v>
      </c>
      <c r="I11" s="28" t="n">
        <f aca="false">(H10-I9)*(H10-I9)/I9</f>
        <v>0.254841193683991</v>
      </c>
      <c r="J11" s="26" t="n">
        <f aca="false">J10/J15</f>
        <v>0.0821882123086942</v>
      </c>
      <c r="K11" s="29"/>
      <c r="M11" s="46"/>
      <c r="N11" s="47" t="s">
        <v>15</v>
      </c>
      <c r="O11" s="47"/>
      <c r="P11" s="47"/>
      <c r="Q11" s="47"/>
    </row>
    <row r="12" customFormat="false" ht="14.25" hidden="false" customHeight="false" outlineLevel="0" collapsed="false">
      <c r="A12" s="6"/>
      <c r="B12" s="11"/>
      <c r="C12" s="4" t="s">
        <v>16</v>
      </c>
      <c r="D12" s="13" t="n">
        <v>0.007</v>
      </c>
      <c r="E12" s="14" t="n">
        <f aca="false">$D$15*D12</f>
        <v>34.797</v>
      </c>
      <c r="F12" s="13" t="n">
        <v>0.007</v>
      </c>
      <c r="G12" s="14" t="n">
        <f aca="false">$F$15*F12</f>
        <v>52.199</v>
      </c>
      <c r="H12" s="13" t="n">
        <v>0.01</v>
      </c>
      <c r="I12" s="14" t="n">
        <f aca="false">$H$15*H12</f>
        <v>29.27</v>
      </c>
      <c r="J12" s="32"/>
      <c r="K12" s="29"/>
      <c r="M12" s="48"/>
      <c r="N12" s="49" t="s">
        <v>17</v>
      </c>
      <c r="O12" s="49"/>
      <c r="P12" s="49"/>
      <c r="Q12" s="49"/>
    </row>
    <row r="13" customFormat="false" ht="14.25" hidden="false" customHeight="false" outlineLevel="0" collapsed="false">
      <c r="A13" s="6"/>
      <c r="B13" s="11"/>
      <c r="C13" s="4"/>
      <c r="D13" s="19" t="n">
        <v>63</v>
      </c>
      <c r="E13" s="20" t="n">
        <f aca="false">D13/$J$13</f>
        <v>0.22027972027972</v>
      </c>
      <c r="F13" s="21" t="n">
        <v>180</v>
      </c>
      <c r="G13" s="20" t="n">
        <f aca="false">F13/$J$13</f>
        <v>0.629370629370629</v>
      </c>
      <c r="H13" s="21" t="n">
        <v>43</v>
      </c>
      <c r="I13" s="22" t="n">
        <f aca="false">H13/$J$13</f>
        <v>0.15034965034965</v>
      </c>
      <c r="J13" s="19" t="n">
        <f aca="false">D13+F13+H13</f>
        <v>286</v>
      </c>
      <c r="K13" s="23" t="n">
        <f aca="false">E13+G13+I13</f>
        <v>1</v>
      </c>
      <c r="L13" s="24"/>
      <c r="M13" s="50"/>
      <c r="N13" s="51" t="s">
        <v>18</v>
      </c>
      <c r="O13" s="51"/>
      <c r="P13" s="51"/>
      <c r="Q13" s="51"/>
    </row>
    <row r="14" customFormat="false" ht="14.25" hidden="false" customHeight="false" outlineLevel="0" collapsed="false">
      <c r="A14" s="6"/>
      <c r="B14" s="11"/>
      <c r="C14" s="4"/>
      <c r="D14" s="52" t="n">
        <f aca="false">D13/D15</f>
        <v>0.0126735063367532</v>
      </c>
      <c r="E14" s="38" t="n">
        <f aca="false">(D13-E12)*(D13-E12)/E12</f>
        <v>22.8585570307785</v>
      </c>
      <c r="F14" s="37" t="n">
        <f aca="false">F13/F15</f>
        <v>0.0241383934558133</v>
      </c>
      <c r="G14" s="38" t="n">
        <f aca="false">(F13-G12)*(F13-G12)/G12</f>
        <v>312.900546006629</v>
      </c>
      <c r="H14" s="37" t="n">
        <f aca="false">H13/H15</f>
        <v>0.0146908097027673</v>
      </c>
      <c r="I14" s="39" t="n">
        <f aca="false">(H13-I12)*(H13-I12)/I12</f>
        <v>6.44048172189956</v>
      </c>
      <c r="J14" s="35" t="n">
        <f aca="false">J13/J15</f>
        <v>0.0186258547704331</v>
      </c>
      <c r="K14" s="40"/>
      <c r="M14" s="53"/>
      <c r="N14" s="54" t="s">
        <v>19</v>
      </c>
      <c r="O14" s="55"/>
      <c r="P14" s="55"/>
      <c r="Q14" s="56"/>
    </row>
    <row r="15" customFormat="false" ht="14.25" hidden="false" customHeight="false" outlineLevel="0" collapsed="false">
      <c r="A15" s="6"/>
      <c r="D15" s="21" t="n">
        <f aca="false">D4+D7+D10+D13</f>
        <v>4971</v>
      </c>
      <c r="E15" s="57" t="n">
        <f aca="false">D15/$J$15</f>
        <v>0.323738196027353</v>
      </c>
      <c r="F15" s="58" t="n">
        <f aca="false">F4+F7+F10+F13</f>
        <v>7457</v>
      </c>
      <c r="G15" s="57" t="n">
        <f aca="false">F15/$J$15</f>
        <v>0.485639856724194</v>
      </c>
      <c r="H15" s="58" t="n">
        <f aca="false">H4+H7+H10+H13</f>
        <v>2927</v>
      </c>
      <c r="I15" s="59" t="n">
        <f aca="false">H15/$J$15</f>
        <v>0.190621947248453</v>
      </c>
      <c r="J15" s="58" t="n">
        <f aca="false">J4+J7+J10+J13</f>
        <v>15355</v>
      </c>
      <c r="K15" s="60" t="n">
        <f aca="false">E15+G15+I15</f>
        <v>1</v>
      </c>
      <c r="L15" s="24"/>
    </row>
    <row r="16" customFormat="false" ht="14.25" hidden="false" customHeight="false" outlineLevel="0" collapsed="false">
      <c r="A16" s="6"/>
      <c r="C16" s="61"/>
      <c r="D16" s="62" t="n">
        <f aca="false">D5+D8+D11+D14</f>
        <v>1</v>
      </c>
      <c r="E16" s="63" t="n">
        <f aca="false">E5+E8+E11+E14</f>
        <v>43.7272261713231</v>
      </c>
      <c r="F16" s="64" t="n">
        <f aca="false">F5+F8+F11+F14</f>
        <v>1</v>
      </c>
      <c r="G16" s="63" t="n">
        <f aca="false">G5+G8+G11+G14</f>
        <v>321.210173385645</v>
      </c>
      <c r="H16" s="64" t="n">
        <f aca="false">H5+H8+H11+H14</f>
        <v>1</v>
      </c>
      <c r="I16" s="65" t="n">
        <f aca="false">I5+I8+I11+I14</f>
        <v>7.75438631901136</v>
      </c>
      <c r="J16" s="35" t="n">
        <f aca="false">J5+J8+J11+J14</f>
        <v>1</v>
      </c>
    </row>
    <row r="17" customFormat="false" ht="14.25" hidden="false" customHeight="false" outlineLevel="0" collapsed="false">
      <c r="A17" s="6"/>
      <c r="D17" s="66" t="s">
        <v>20</v>
      </c>
      <c r="E17" s="66"/>
      <c r="F17" s="67" t="n">
        <v>0.05</v>
      </c>
      <c r="G17" s="68" t="s">
        <v>21</v>
      </c>
      <c r="H17" s="69" t="n">
        <f aca="false">(K1-1)</f>
        <v>3</v>
      </c>
    </row>
    <row r="18" customFormat="false" ht="14.25" hidden="false" customHeight="false" outlineLevel="0" collapsed="false">
      <c r="A18" s="6"/>
      <c r="D18" s="66" t="s">
        <v>22</v>
      </c>
      <c r="E18" s="66"/>
      <c r="F18" s="67" t="n">
        <f aca="false">1-F17</f>
        <v>0.95</v>
      </c>
      <c r="G18" s="70"/>
      <c r="H18" s="71" t="n">
        <v>7.815</v>
      </c>
    </row>
    <row r="19" customFormat="false" ht="14.25" hidden="false" customHeight="false" outlineLevel="0" collapsed="false">
      <c r="A19" s="6"/>
    </row>
    <row r="20" customFormat="false" ht="14.25" hidden="false" customHeight="false" outlineLevel="0" collapsed="false">
      <c r="A20" s="6"/>
      <c r="C20" s="72" t="s">
        <v>23</v>
      </c>
      <c r="D20" s="72"/>
      <c r="E20" s="72"/>
      <c r="F20" s="72"/>
      <c r="G20" s="72"/>
      <c r="H20" s="72"/>
      <c r="I20" s="73" t="n">
        <v>2016</v>
      </c>
      <c r="J20" s="73" t="n">
        <v>2017</v>
      </c>
      <c r="K20" s="73" t="n">
        <v>2018</v>
      </c>
      <c r="L20" s="73"/>
      <c r="M20" s="73"/>
      <c r="N20" s="73"/>
    </row>
    <row r="21" customFormat="false" ht="14.25" hidden="false" customHeight="true" outlineLevel="0" collapsed="false">
      <c r="A21" s="6"/>
      <c r="B21" s="74" t="s">
        <v>24</v>
      </c>
      <c r="C21" s="75" t="s">
        <v>25</v>
      </c>
      <c r="D21" s="75"/>
      <c r="E21" s="75"/>
      <c r="F21" s="75"/>
      <c r="G21" s="75"/>
      <c r="H21" s="75"/>
      <c r="I21" s="76" t="str">
        <f aca="false">IF(E16&gt;$H$18,"Rejeita","Não Rejeita")</f>
        <v>Rejeita</v>
      </c>
      <c r="J21" s="76" t="str">
        <f aca="false">IF(G16&gt;$H$18,"Rejeita","Não Rejeita")</f>
        <v>Rejeita</v>
      </c>
      <c r="K21" s="77" t="str">
        <f aca="false">IF(I16&gt;$H$18,"Rejeita","Não Rejeita")</f>
        <v>Não Rejeita</v>
      </c>
      <c r="L21" s="77"/>
      <c r="M21" s="77"/>
      <c r="N21" s="77"/>
    </row>
    <row r="22" customFormat="false" ht="14.25" hidden="false" customHeight="false" outlineLevel="0" collapsed="false">
      <c r="A22" s="6"/>
      <c r="B22" s="74"/>
      <c r="C22" s="78" t="s">
        <v>26</v>
      </c>
      <c r="D22" s="78"/>
      <c r="E22" s="78"/>
      <c r="F22" s="78"/>
      <c r="G22" s="78"/>
      <c r="H22" s="78"/>
      <c r="I22" s="79" t="str">
        <f aca="false">IF(E16&gt;$H$18,"Apoia","Deixa de apoiar")</f>
        <v>Apoia</v>
      </c>
      <c r="J22" s="79" t="str">
        <f aca="false">IF(G16&gt;$H$18,"Apoia","Deixa de apoiar")</f>
        <v>Apoia</v>
      </c>
      <c r="K22" s="80" t="str">
        <f aca="false">IF(I16&gt;$H$18,"Apoia","Deixa de apoiar")</f>
        <v>Deixa de apoiar</v>
      </c>
      <c r="L22" s="80"/>
      <c r="M22" s="80"/>
      <c r="N22" s="80"/>
    </row>
    <row r="23" customFormat="false" ht="14.25" hidden="false" customHeight="false" outlineLevel="0" collapsed="false">
      <c r="A23" s="6"/>
      <c r="C23" s="80" t="s">
        <v>27</v>
      </c>
      <c r="D23" s="80"/>
      <c r="E23" s="80"/>
      <c r="F23" s="80"/>
      <c r="G23" s="81" t="s">
        <v>28</v>
      </c>
      <c r="H23" s="82" t="n">
        <f aca="false">J15</f>
        <v>15355</v>
      </c>
    </row>
    <row r="24" customFormat="false" ht="14.25" hidden="false" customHeight="false" outlineLevel="0" collapsed="false">
      <c r="A24" s="6"/>
    </row>
    <row r="25" customFormat="false" ht="14.25" hidden="false" customHeight="false" outlineLevel="0" collapsed="false">
      <c r="A25" s="6"/>
    </row>
    <row r="26" customFormat="false" ht="14.25" hidden="false" customHeight="false" outlineLevel="0" collapsed="false">
      <c r="A26" s="6"/>
    </row>
  </sheetData>
  <mergeCells count="31">
    <mergeCell ref="B1:C2"/>
    <mergeCell ref="D1:I1"/>
    <mergeCell ref="J1:J2"/>
    <mergeCell ref="K1:K2"/>
    <mergeCell ref="D2:E2"/>
    <mergeCell ref="F2:G2"/>
    <mergeCell ref="H2:I2"/>
    <mergeCell ref="N2:O2"/>
    <mergeCell ref="B3:B14"/>
    <mergeCell ref="C3:C5"/>
    <mergeCell ref="N5:O5"/>
    <mergeCell ref="C6:C8"/>
    <mergeCell ref="N6:P6"/>
    <mergeCell ref="N7:P7"/>
    <mergeCell ref="C9:C11"/>
    <mergeCell ref="N9:Q9"/>
    <mergeCell ref="N10:Q10"/>
    <mergeCell ref="N11:Q11"/>
    <mergeCell ref="C12:C14"/>
    <mergeCell ref="N12:Q12"/>
    <mergeCell ref="N13:Q13"/>
    <mergeCell ref="D17:E17"/>
    <mergeCell ref="D18:E18"/>
    <mergeCell ref="C20:H20"/>
    <mergeCell ref="K20:N20"/>
    <mergeCell ref="B21:B22"/>
    <mergeCell ref="C21:H21"/>
    <mergeCell ref="K21:N21"/>
    <mergeCell ref="C22:H22"/>
    <mergeCell ref="K22:N22"/>
    <mergeCell ref="C23:F2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453125" defaultRowHeight="14.25" zeroHeight="false" outlineLevelRow="0" outlineLevelCol="0"/>
  <cols>
    <col collapsed="false" customWidth="true" hidden="false" outlineLevel="0" max="1" min="1" style="0" width="1.45"/>
    <col collapsed="false" customWidth="true" hidden="false" outlineLevel="0" max="2" min="2" style="0" width="14.18"/>
    <col collapsed="false" customWidth="true" hidden="false" outlineLevel="0" max="3" min="3" style="0" width="11.27"/>
    <col collapsed="false" customWidth="true" hidden="false" outlineLevel="0" max="4" min="4" style="0" width="9.63"/>
    <col collapsed="false" customWidth="true" hidden="false" outlineLevel="0" max="5" min="5" style="0" width="9.73"/>
    <col collapsed="false" customWidth="true" hidden="false" outlineLevel="0" max="6" min="6" style="0" width="9.27"/>
    <col collapsed="false" customWidth="true" hidden="false" outlineLevel="0" max="7" min="7" style="0" width="10.45"/>
    <col collapsed="false" customWidth="true" hidden="false" outlineLevel="0" max="8" min="8" style="0" width="10.36"/>
    <col collapsed="false" customWidth="true" hidden="false" outlineLevel="0" max="9" min="9" style="0" width="9.27"/>
    <col collapsed="false" customWidth="true" hidden="false" outlineLevel="0" max="10" min="10" style="0" width="12.09"/>
    <col collapsed="false" customWidth="true" hidden="false" outlineLevel="0" max="12" min="12" style="0" width="2.63"/>
    <col collapsed="false" customWidth="true" hidden="false" outlineLevel="0" max="13" min="13" style="0" width="1.91"/>
    <col collapsed="false" customWidth="true" hidden="false" outlineLevel="0" max="14" min="14" style="0" width="13.27"/>
    <col collapsed="false" customWidth="true" hidden="false" outlineLevel="0" max="17" min="17" style="0" width="10.27"/>
  </cols>
  <sheetData>
    <row r="1" customFormat="false" ht="14.25" hidden="false" customHeight="false" outlineLevel="0" collapsed="false">
      <c r="B1" s="83" t="s">
        <v>29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</row>
    <row r="2" customFormat="false" ht="14.25" hidden="false" customHeight="false" outlineLevel="0" collapsed="false">
      <c r="A2" s="1"/>
      <c r="B2" s="84" t="s">
        <v>0</v>
      </c>
      <c r="C2" s="84"/>
      <c r="D2" s="85" t="s">
        <v>1</v>
      </c>
      <c r="E2" s="85"/>
      <c r="F2" s="85"/>
      <c r="G2" s="85"/>
      <c r="H2" s="85"/>
      <c r="I2" s="85"/>
      <c r="J2" s="86" t="s">
        <v>30</v>
      </c>
      <c r="K2" s="86" t="n">
        <v>4</v>
      </c>
      <c r="L2" s="87"/>
      <c r="M2" s="88"/>
      <c r="N2" s="88"/>
      <c r="O2" s="88"/>
      <c r="P2" s="88"/>
      <c r="Q2" s="88"/>
    </row>
    <row r="3" customFormat="false" ht="14.25" hidden="false" customHeight="false" outlineLevel="0" collapsed="false">
      <c r="A3" s="6"/>
      <c r="B3" s="84"/>
      <c r="C3" s="84"/>
      <c r="D3" s="89" t="n">
        <v>2016</v>
      </c>
      <c r="E3" s="89"/>
      <c r="F3" s="90" t="n">
        <v>2017</v>
      </c>
      <c r="G3" s="90"/>
      <c r="H3" s="91" t="n">
        <v>2018</v>
      </c>
      <c r="I3" s="91"/>
      <c r="J3" s="86"/>
      <c r="K3" s="86"/>
      <c r="L3" s="87"/>
      <c r="M3" s="88"/>
      <c r="N3" s="92" t="s">
        <v>3</v>
      </c>
      <c r="O3" s="92"/>
      <c r="P3" s="88"/>
      <c r="Q3" s="88"/>
    </row>
    <row r="4" customFormat="false" ht="14.25" hidden="false" customHeight="true" outlineLevel="0" collapsed="false">
      <c r="A4" s="6"/>
      <c r="B4" s="93" t="s">
        <v>4</v>
      </c>
      <c r="C4" s="94" t="s">
        <v>5</v>
      </c>
      <c r="D4" s="95" t="n">
        <v>0.361</v>
      </c>
      <c r="E4" s="96" t="n">
        <f aca="false">$D$16*D4</f>
        <v>1794.531</v>
      </c>
      <c r="F4" s="95" t="n">
        <v>0.357</v>
      </c>
      <c r="G4" s="96" t="n">
        <f aca="false">$F$16*F4</f>
        <v>2662.149</v>
      </c>
      <c r="H4" s="95" t="n">
        <v>0.358</v>
      </c>
      <c r="I4" s="96" t="n">
        <f aca="false">$H$16*H4</f>
        <v>1047.866</v>
      </c>
      <c r="J4" s="97"/>
      <c r="K4" s="98"/>
      <c r="L4" s="88"/>
      <c r="M4" s="88"/>
      <c r="N4" s="99" t="s">
        <v>6</v>
      </c>
      <c r="O4" s="100" t="n">
        <f aca="false">MIN(E4,G4,I4,E7,G7,I7,E10,G10,I10,E13,G13,I13)</f>
        <v>29.27</v>
      </c>
      <c r="P4" s="88"/>
      <c r="Q4" s="88"/>
    </row>
    <row r="5" customFormat="false" ht="14.25" hidden="false" customHeight="false" outlineLevel="0" collapsed="false">
      <c r="A5" s="6"/>
      <c r="B5" s="93"/>
      <c r="C5" s="94"/>
      <c r="D5" s="101" t="n">
        <v>1776</v>
      </c>
      <c r="E5" s="102" t="n">
        <f aca="false">D5/$J$5</f>
        <v>0.326530612244898</v>
      </c>
      <c r="F5" s="103" t="n">
        <v>2643</v>
      </c>
      <c r="G5" s="102" t="n">
        <f aca="false">F5/$J$5</f>
        <v>0.485934914506343</v>
      </c>
      <c r="H5" s="103" t="n">
        <v>1020</v>
      </c>
      <c r="I5" s="104" t="n">
        <f aca="false">H5/$J$5</f>
        <v>0.187534473248759</v>
      </c>
      <c r="J5" s="101" t="n">
        <f aca="false">D5+F5+H5</f>
        <v>5439</v>
      </c>
      <c r="K5" s="105" t="n">
        <f aca="false">E5+G5+I5</f>
        <v>1</v>
      </c>
      <c r="L5" s="106"/>
      <c r="M5" s="88"/>
      <c r="N5" s="107" t="s">
        <v>7</v>
      </c>
      <c r="O5" s="107" t="str">
        <f aca="false">IF(O4&lt;5,"sim","não")</f>
        <v>não</v>
      </c>
      <c r="P5" s="88"/>
      <c r="Q5" s="88"/>
    </row>
    <row r="6" customFormat="false" ht="14.25" hidden="false" customHeight="false" outlineLevel="0" collapsed="false">
      <c r="A6" s="6"/>
      <c r="B6" s="93"/>
      <c r="C6" s="94"/>
      <c r="D6" s="108" t="n">
        <f aca="false">D5/D16</f>
        <v>0.357272178636089</v>
      </c>
      <c r="E6" s="109" t="n">
        <f aca="false">(D5-E4)*(D5-E4)/E4</f>
        <v>0.191358054555758</v>
      </c>
      <c r="F6" s="102" t="n">
        <f aca="false">F5/F16</f>
        <v>0.354432077242859</v>
      </c>
      <c r="G6" s="109" t="n">
        <f aca="false">(F5-G4)*(F5-G4)/G4</f>
        <v>0.137739924023785</v>
      </c>
      <c r="H6" s="102" t="n">
        <f aca="false">H5/H16</f>
        <v>0.348479672019132</v>
      </c>
      <c r="I6" s="110" t="n">
        <f aca="false">(H5-I4)*(H5-I4)/I4</f>
        <v>0.741043183002406</v>
      </c>
      <c r="J6" s="108" t="n">
        <f aca="false">J5/J16</f>
        <v>0.35421686746988</v>
      </c>
      <c r="K6" s="111"/>
      <c r="L6" s="88"/>
      <c r="M6" s="88"/>
      <c r="N6" s="112" t="s">
        <v>8</v>
      </c>
      <c r="O6" s="112"/>
      <c r="P6" s="107" t="str">
        <f aca="false">IF(O4&gt;=5,IF(O4&lt;=10,"sim","não"))</f>
        <v>não</v>
      </c>
      <c r="Q6" s="88"/>
    </row>
    <row r="7" customFormat="false" ht="14.25" hidden="false" customHeight="false" outlineLevel="0" collapsed="false">
      <c r="A7" s="6"/>
      <c r="B7" s="93"/>
      <c r="C7" s="113" t="s">
        <v>9</v>
      </c>
      <c r="D7" s="95" t="n">
        <v>0.568</v>
      </c>
      <c r="E7" s="96" t="n">
        <f aca="false">$D$16*D7</f>
        <v>2823.528</v>
      </c>
      <c r="F7" s="95" t="n">
        <v>0.56</v>
      </c>
      <c r="G7" s="96" t="n">
        <f aca="false">$F$16*F7</f>
        <v>4175.92</v>
      </c>
      <c r="H7" s="95" t="n">
        <v>0.54</v>
      </c>
      <c r="I7" s="96" t="n">
        <f aca="false">$H$16*H7</f>
        <v>1580.58</v>
      </c>
      <c r="J7" s="114"/>
      <c r="K7" s="111"/>
      <c r="L7" s="88"/>
      <c r="M7" s="88"/>
      <c r="N7" s="115" t="s">
        <v>10</v>
      </c>
      <c r="O7" s="115"/>
      <c r="P7" s="115"/>
      <c r="Q7" s="88"/>
    </row>
    <row r="8" customFormat="false" ht="14.25" hidden="false" customHeight="false" outlineLevel="0" collapsed="false">
      <c r="A8" s="6"/>
      <c r="B8" s="93"/>
      <c r="C8" s="113"/>
      <c r="D8" s="101" t="n">
        <v>2738</v>
      </c>
      <c r="E8" s="102" t="n">
        <f aca="false">D8/$J$8</f>
        <v>0.327198852772467</v>
      </c>
      <c r="F8" s="103" t="n">
        <v>4027</v>
      </c>
      <c r="G8" s="102" t="n">
        <f aca="false">F8/$J$8</f>
        <v>0.481238049713193</v>
      </c>
      <c r="H8" s="103" t="n">
        <v>1603</v>
      </c>
      <c r="I8" s="104" t="n">
        <f aca="false">H8/$J$8</f>
        <v>0.19156309751434</v>
      </c>
      <c r="J8" s="101" t="n">
        <f aca="false">D8+F8+H8</f>
        <v>8368</v>
      </c>
      <c r="K8" s="105" t="n">
        <f aca="false">E8+G8+I8</f>
        <v>1</v>
      </c>
      <c r="L8" s="106"/>
      <c r="M8" s="88"/>
      <c r="N8" s="116" t="s">
        <v>11</v>
      </c>
      <c r="O8" s="116"/>
      <c r="P8" s="116"/>
      <c r="Q8" s="88"/>
    </row>
    <row r="9" customFormat="false" ht="14.25" hidden="false" customHeight="false" outlineLevel="0" collapsed="false">
      <c r="A9" s="6"/>
      <c r="B9" s="93"/>
      <c r="C9" s="113"/>
      <c r="D9" s="117" t="n">
        <f aca="false">D8/D16</f>
        <v>0.550794608730638</v>
      </c>
      <c r="E9" s="118" t="n">
        <f aca="false">(D8-E7)*(D8-E7)/E7</f>
        <v>2.59074419803875</v>
      </c>
      <c r="F9" s="119" t="n">
        <f aca="false">F8/F16</f>
        <v>0.54002950248089</v>
      </c>
      <c r="G9" s="120" t="n">
        <f aca="false">(F8-G7)*(F8-G7)/G7</f>
        <v>5.31072587597464</v>
      </c>
      <c r="H9" s="119" t="n">
        <f aca="false">H8/H16</f>
        <v>0.547659719849675</v>
      </c>
      <c r="I9" s="121" t="n">
        <f aca="false">(H8-I7)*(H8-I7)/I7</f>
        <v>0.318020220425409</v>
      </c>
      <c r="J9" s="117" t="n">
        <f aca="false">J8/J16</f>
        <v>0.544969065450993</v>
      </c>
      <c r="K9" s="122"/>
      <c r="L9" s="88"/>
      <c r="M9" s="88"/>
      <c r="N9" s="88"/>
      <c r="O9" s="88"/>
      <c r="P9" s="88"/>
      <c r="Q9" s="88"/>
    </row>
    <row r="10" customFormat="false" ht="14.25" hidden="false" customHeight="false" outlineLevel="0" collapsed="false">
      <c r="A10" s="6"/>
      <c r="B10" s="93"/>
      <c r="C10" s="123" t="s">
        <v>12</v>
      </c>
      <c r="D10" s="95" t="n">
        <v>0.064</v>
      </c>
      <c r="E10" s="96" t="n">
        <f aca="false">$D$16*D10</f>
        <v>318.144</v>
      </c>
      <c r="F10" s="95" t="n">
        <v>0.076</v>
      </c>
      <c r="G10" s="96" t="n">
        <f aca="false">$F$16*F10</f>
        <v>566.732</v>
      </c>
      <c r="H10" s="95" t="n">
        <v>0.092</v>
      </c>
      <c r="I10" s="96" t="n">
        <f aca="false">$H$16*H10</f>
        <v>269.284</v>
      </c>
      <c r="J10" s="97"/>
      <c r="K10" s="98"/>
      <c r="L10" s="88"/>
      <c r="M10" s="88"/>
      <c r="N10" s="124" t="s">
        <v>13</v>
      </c>
      <c r="O10" s="124"/>
      <c r="P10" s="124"/>
      <c r="Q10" s="124"/>
    </row>
    <row r="11" customFormat="false" ht="14.25" hidden="false" customHeight="false" outlineLevel="0" collapsed="false">
      <c r="A11" s="6"/>
      <c r="B11" s="93"/>
      <c r="C11" s="123"/>
      <c r="D11" s="101" t="n">
        <v>394</v>
      </c>
      <c r="E11" s="102" t="n">
        <f aca="false">D11/$J$11</f>
        <v>0.312202852614897</v>
      </c>
      <c r="F11" s="103" t="n">
        <v>607</v>
      </c>
      <c r="G11" s="102" t="n">
        <f aca="false">F11/$J$11</f>
        <v>0.480982567353407</v>
      </c>
      <c r="H11" s="103" t="n">
        <v>261</v>
      </c>
      <c r="I11" s="104" t="n">
        <f aca="false">H11/$J$11</f>
        <v>0.206814580031696</v>
      </c>
      <c r="J11" s="101" t="n">
        <f aca="false">D11+F11+H11</f>
        <v>1262</v>
      </c>
      <c r="K11" s="105" t="n">
        <f aca="false">E11+G11+I11</f>
        <v>1</v>
      </c>
      <c r="L11" s="106"/>
      <c r="M11" s="125"/>
      <c r="N11" s="126" t="s">
        <v>31</v>
      </c>
      <c r="O11" s="126"/>
      <c r="P11" s="126"/>
      <c r="Q11" s="126"/>
    </row>
    <row r="12" customFormat="false" ht="14.25" hidden="false" customHeight="false" outlineLevel="0" collapsed="false">
      <c r="A12" s="6"/>
      <c r="B12" s="93"/>
      <c r="C12" s="123"/>
      <c r="D12" s="108" t="n">
        <f aca="false">D11/D16</f>
        <v>0.0792597062965198</v>
      </c>
      <c r="E12" s="127" t="n">
        <f aca="false">(D11-E10)*(D11-E10)/E10</f>
        <v>18.0865668879501</v>
      </c>
      <c r="F12" s="102" t="n">
        <f aca="false">F11/F16</f>
        <v>0.0814000268204372</v>
      </c>
      <c r="G12" s="109" t="n">
        <f aca="false">(F11-G10)*(F11-G10)/G10</f>
        <v>2.86116157901795</v>
      </c>
      <c r="H12" s="102" t="n">
        <f aca="false">H11/H16</f>
        <v>0.089169798428425</v>
      </c>
      <c r="I12" s="110" t="n">
        <f aca="false">(H11-I10)*(H11-I10)/I10</f>
        <v>0.254841193683991</v>
      </c>
      <c r="J12" s="108" t="n">
        <f aca="false">J11/J16</f>
        <v>0.0821882123086942</v>
      </c>
      <c r="K12" s="111"/>
      <c r="L12" s="88"/>
      <c r="M12" s="128"/>
      <c r="N12" s="129" t="s">
        <v>15</v>
      </c>
      <c r="O12" s="129"/>
      <c r="P12" s="129"/>
      <c r="Q12" s="129"/>
    </row>
    <row r="13" customFormat="false" ht="14.25" hidden="false" customHeight="false" outlineLevel="0" collapsed="false">
      <c r="A13" s="6"/>
      <c r="B13" s="93"/>
      <c r="C13" s="86" t="s">
        <v>16</v>
      </c>
      <c r="D13" s="95" t="n">
        <v>0.007</v>
      </c>
      <c r="E13" s="96" t="n">
        <f aca="false">$D$16*D13</f>
        <v>34.797</v>
      </c>
      <c r="F13" s="95" t="n">
        <v>0.007</v>
      </c>
      <c r="G13" s="96" t="n">
        <f aca="false">$F$16*F13</f>
        <v>52.199</v>
      </c>
      <c r="H13" s="95" t="n">
        <v>0.01</v>
      </c>
      <c r="I13" s="96" t="n">
        <f aca="false">$H$16*H13</f>
        <v>29.27</v>
      </c>
      <c r="J13" s="114"/>
      <c r="K13" s="111"/>
      <c r="L13" s="88"/>
      <c r="M13" s="130"/>
      <c r="N13" s="131" t="s">
        <v>17</v>
      </c>
      <c r="O13" s="131"/>
      <c r="P13" s="131"/>
      <c r="Q13" s="131"/>
    </row>
    <row r="14" customFormat="false" ht="14.25" hidden="false" customHeight="false" outlineLevel="0" collapsed="false">
      <c r="A14" s="6"/>
      <c r="B14" s="93"/>
      <c r="C14" s="86"/>
      <c r="D14" s="101" t="n">
        <v>63</v>
      </c>
      <c r="E14" s="102" t="n">
        <f aca="false">D14/$J$14</f>
        <v>0.22027972027972</v>
      </c>
      <c r="F14" s="103" t="n">
        <v>180</v>
      </c>
      <c r="G14" s="102" t="n">
        <f aca="false">F14/$J$14</f>
        <v>0.629370629370629</v>
      </c>
      <c r="H14" s="103" t="n">
        <v>43</v>
      </c>
      <c r="I14" s="104" t="n">
        <f aca="false">H14/$J$14</f>
        <v>0.15034965034965</v>
      </c>
      <c r="J14" s="101" t="n">
        <f aca="false">D14+F14+H14</f>
        <v>286</v>
      </c>
      <c r="K14" s="105" t="n">
        <f aca="false">E14+G14+I14</f>
        <v>1</v>
      </c>
      <c r="L14" s="106"/>
      <c r="M14" s="132"/>
      <c r="N14" s="133" t="s">
        <v>18</v>
      </c>
      <c r="O14" s="133"/>
      <c r="P14" s="133"/>
      <c r="Q14" s="133"/>
    </row>
    <row r="15" customFormat="false" ht="14.25" hidden="false" customHeight="false" outlineLevel="0" collapsed="false">
      <c r="A15" s="6"/>
      <c r="B15" s="93"/>
      <c r="C15" s="86"/>
      <c r="D15" s="134" t="n">
        <f aca="false">D14/D16</f>
        <v>0.0126735063367532</v>
      </c>
      <c r="E15" s="120" t="n">
        <f aca="false">(D14-E13)*(D14-E13)/E13</f>
        <v>22.8585570307785</v>
      </c>
      <c r="F15" s="119" t="n">
        <f aca="false">F14/F16</f>
        <v>0.0241383934558133</v>
      </c>
      <c r="G15" s="120" t="n">
        <f aca="false">(F14-G13)*(F14-G13)/G13</f>
        <v>312.900546006629</v>
      </c>
      <c r="H15" s="119" t="n">
        <f aca="false">H14/H16</f>
        <v>0.0146908097027673</v>
      </c>
      <c r="I15" s="121" t="n">
        <f aca="false">(H14-I13)*(H14-I13)/I13</f>
        <v>6.44048172189956</v>
      </c>
      <c r="J15" s="117" t="n">
        <f aca="false">J14/J16</f>
        <v>0.0186258547704331</v>
      </c>
      <c r="K15" s="122"/>
      <c r="L15" s="88"/>
      <c r="M15" s="135"/>
      <c r="N15" s="136" t="s">
        <v>19</v>
      </c>
      <c r="O15" s="137"/>
      <c r="P15" s="137"/>
      <c r="Q15" s="138"/>
    </row>
    <row r="16" customFormat="false" ht="14.25" hidden="false" customHeight="false" outlineLevel="0" collapsed="false">
      <c r="A16" s="6"/>
      <c r="B16" s="88"/>
      <c r="C16" s="88"/>
      <c r="D16" s="103" t="n">
        <f aca="false">D5+D8+D11+D14</f>
        <v>4971</v>
      </c>
      <c r="E16" s="139" t="n">
        <f aca="false">D16/$J$16</f>
        <v>0.323738196027353</v>
      </c>
      <c r="F16" s="140" t="n">
        <f aca="false">F5+F8+F11+F14</f>
        <v>7457</v>
      </c>
      <c r="G16" s="139" t="n">
        <f aca="false">F16/$J$16</f>
        <v>0.485639856724194</v>
      </c>
      <c r="H16" s="140" t="n">
        <f aca="false">H5+H8+H11+H14</f>
        <v>2927</v>
      </c>
      <c r="I16" s="141" t="n">
        <f aca="false">H16/$J$16</f>
        <v>0.190621947248453</v>
      </c>
      <c r="J16" s="140" t="n">
        <f aca="false">J5+J8+J11+J14</f>
        <v>15355</v>
      </c>
      <c r="K16" s="142" t="n">
        <f aca="false">E16+G16+I16</f>
        <v>1</v>
      </c>
      <c r="L16" s="106"/>
      <c r="M16" s="88"/>
      <c r="N16" s="88"/>
      <c r="O16" s="88"/>
      <c r="P16" s="88"/>
      <c r="Q16" s="88"/>
    </row>
    <row r="17" customFormat="false" ht="14.25" hidden="false" customHeight="false" outlineLevel="0" collapsed="false">
      <c r="A17" s="6"/>
      <c r="B17" s="88"/>
      <c r="C17" s="143"/>
      <c r="D17" s="144" t="n">
        <f aca="false">D6+D9+D12+D15</f>
        <v>1</v>
      </c>
      <c r="E17" s="145" t="n">
        <f aca="false">E6+E9+E12+E15</f>
        <v>43.7272261713231</v>
      </c>
      <c r="F17" s="146" t="n">
        <f aca="false">F6+F9+F12+F15</f>
        <v>1</v>
      </c>
      <c r="G17" s="145" t="n">
        <f aca="false">G6+G9+G12+G15</f>
        <v>321.210173385645</v>
      </c>
      <c r="H17" s="146" t="n">
        <f aca="false">H6+H9+H12+H15</f>
        <v>1</v>
      </c>
      <c r="I17" s="147" t="n">
        <f aca="false">I6+I9+I12+I15</f>
        <v>7.75438631901136</v>
      </c>
      <c r="J17" s="117" t="n">
        <f aca="false">J6+J9+J12+J15</f>
        <v>1</v>
      </c>
      <c r="K17" s="88"/>
      <c r="L17" s="88"/>
      <c r="M17" s="88"/>
      <c r="N17" s="88"/>
      <c r="O17" s="88"/>
      <c r="P17" s="88"/>
      <c r="Q17" s="88"/>
    </row>
    <row r="18" customFormat="false" ht="14.25" hidden="false" customHeight="false" outlineLevel="0" collapsed="false">
      <c r="A18" s="6"/>
      <c r="B18" s="88"/>
      <c r="C18" s="88"/>
      <c r="D18" s="148" t="s">
        <v>20</v>
      </c>
      <c r="E18" s="148"/>
      <c r="F18" s="149" t="n">
        <v>0.05</v>
      </c>
      <c r="G18" s="150" t="s">
        <v>32</v>
      </c>
      <c r="H18" s="151" t="n">
        <f aca="false">(K2-1)</f>
        <v>3</v>
      </c>
      <c r="I18" s="88"/>
      <c r="J18" s="88"/>
      <c r="K18" s="88"/>
      <c r="L18" s="88"/>
      <c r="M18" s="88"/>
      <c r="N18" s="88"/>
      <c r="O18" s="88"/>
      <c r="P18" s="88"/>
      <c r="Q18" s="88"/>
    </row>
    <row r="19" customFormat="false" ht="14.25" hidden="false" customHeight="false" outlineLevel="0" collapsed="false">
      <c r="A19" s="6"/>
      <c r="B19" s="88"/>
      <c r="C19" s="88"/>
      <c r="D19" s="148" t="s">
        <v>22</v>
      </c>
      <c r="E19" s="148"/>
      <c r="F19" s="149" t="n">
        <f aca="false">1-F18</f>
        <v>0.95</v>
      </c>
      <c r="G19" s="152"/>
      <c r="H19" s="135" t="n">
        <v>7.815</v>
      </c>
      <c r="I19" s="88"/>
      <c r="J19" s="88"/>
      <c r="K19" s="88"/>
      <c r="L19" s="88"/>
      <c r="M19" s="88"/>
      <c r="N19" s="88"/>
      <c r="O19" s="88"/>
      <c r="P19" s="88"/>
      <c r="Q19" s="88"/>
    </row>
    <row r="20" customFormat="false" ht="14.25" hidden="false" customHeight="false" outlineLevel="0" collapsed="false">
      <c r="A20" s="6"/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</row>
    <row r="21" customFormat="false" ht="14.25" hidden="false" customHeight="false" outlineLevel="0" collapsed="false">
      <c r="A21" s="6"/>
      <c r="B21" s="88"/>
      <c r="C21" s="153" t="s">
        <v>23</v>
      </c>
      <c r="D21" s="153"/>
      <c r="E21" s="153"/>
      <c r="F21" s="153"/>
      <c r="G21" s="153"/>
      <c r="H21" s="153"/>
      <c r="I21" s="148" t="n">
        <v>2016</v>
      </c>
      <c r="J21" s="148" t="n">
        <v>2017</v>
      </c>
      <c r="K21" s="148" t="n">
        <v>2018</v>
      </c>
      <c r="L21" s="148"/>
      <c r="M21" s="148"/>
      <c r="N21" s="148"/>
      <c r="O21" s="88"/>
      <c r="P21" s="88"/>
      <c r="Q21" s="88"/>
    </row>
    <row r="22" customFormat="false" ht="14.25" hidden="false" customHeight="true" outlineLevel="0" collapsed="false">
      <c r="A22" s="6"/>
      <c r="B22" s="154" t="s">
        <v>24</v>
      </c>
      <c r="C22" s="155" t="s">
        <v>33</v>
      </c>
      <c r="D22" s="155"/>
      <c r="E22" s="155"/>
      <c r="F22" s="155"/>
      <c r="G22" s="155"/>
      <c r="H22" s="155"/>
      <c r="I22" s="156" t="str">
        <f aca="false">IF(E17&gt;$H$19,"Rejeita","Não Rejeita")</f>
        <v>Rejeita</v>
      </c>
      <c r="J22" s="156" t="str">
        <f aca="false">IF(G17&gt;$H$19,"Rejeita","Não Rejeita")</f>
        <v>Rejeita</v>
      </c>
      <c r="K22" s="157" t="str">
        <f aca="false">IF(I17&gt;$H$19,"Rejeita","Não Rejeita")</f>
        <v>Não Rejeita</v>
      </c>
      <c r="L22" s="157"/>
      <c r="M22" s="157"/>
      <c r="N22" s="157"/>
      <c r="O22" s="88"/>
      <c r="P22" s="88"/>
      <c r="Q22" s="88"/>
    </row>
    <row r="23" customFormat="false" ht="14.25" hidden="false" customHeight="false" outlineLevel="0" collapsed="false">
      <c r="A23" s="6"/>
      <c r="B23" s="154"/>
      <c r="C23" s="158" t="s">
        <v>26</v>
      </c>
      <c r="D23" s="158"/>
      <c r="E23" s="158"/>
      <c r="F23" s="158"/>
      <c r="G23" s="158"/>
      <c r="H23" s="158"/>
      <c r="I23" s="159" t="str">
        <f aca="false">IF(E17&gt;$H$19,"Apoia","Deixa de apoiar")</f>
        <v>Apoia</v>
      </c>
      <c r="J23" s="159" t="str">
        <f aca="false">IF(G17&gt;$H$19,"Apoia","Deixa de apoiar")</f>
        <v>Apoia</v>
      </c>
      <c r="K23" s="160" t="str">
        <f aca="false">IF(I17&gt;$H$19,"Apoia","Deixa de apoiar")</f>
        <v>Deixa de apoiar</v>
      </c>
      <c r="L23" s="160"/>
      <c r="M23" s="160"/>
      <c r="N23" s="160"/>
      <c r="O23" s="88"/>
      <c r="P23" s="88"/>
      <c r="Q23" s="88"/>
    </row>
    <row r="24" customFormat="false" ht="14.25" hidden="false" customHeight="false" outlineLevel="0" collapsed="false">
      <c r="A24" s="6"/>
      <c r="B24" s="88"/>
      <c r="C24" s="160" t="s">
        <v>27</v>
      </c>
      <c r="D24" s="160"/>
      <c r="E24" s="160"/>
      <c r="F24" s="160"/>
      <c r="G24" s="161" t="s">
        <v>28</v>
      </c>
      <c r="H24" s="162" t="n">
        <f aca="false">J16</f>
        <v>15355</v>
      </c>
      <c r="I24" s="88"/>
      <c r="J24" s="88"/>
      <c r="K24" s="88"/>
      <c r="L24" s="88"/>
      <c r="M24" s="88"/>
      <c r="N24" s="88"/>
      <c r="O24" s="88"/>
      <c r="P24" s="88"/>
      <c r="Q24" s="88"/>
    </row>
    <row r="25" customFormat="false" ht="14.25" hidden="false" customHeight="false" outlineLevel="0" collapsed="false">
      <c r="A25" s="6"/>
    </row>
    <row r="26" customFormat="false" ht="14.25" hidden="false" customHeight="false" outlineLevel="0" collapsed="false">
      <c r="A26" s="6"/>
    </row>
    <row r="27" customFormat="false" ht="14.25" hidden="false" customHeight="false" outlineLevel="0" collapsed="false">
      <c r="A27" s="6"/>
    </row>
  </sheetData>
  <mergeCells count="32">
    <mergeCell ref="B1:Q1"/>
    <mergeCell ref="B2:C3"/>
    <mergeCell ref="D2:I2"/>
    <mergeCell ref="J2:J3"/>
    <mergeCell ref="K2:K3"/>
    <mergeCell ref="D3:E3"/>
    <mergeCell ref="F3:G3"/>
    <mergeCell ref="H3:I3"/>
    <mergeCell ref="N3:O3"/>
    <mergeCell ref="B4:B15"/>
    <mergeCell ref="C4:C6"/>
    <mergeCell ref="N6:O6"/>
    <mergeCell ref="C7:C9"/>
    <mergeCell ref="N7:P7"/>
    <mergeCell ref="N8:P8"/>
    <mergeCell ref="C10:C12"/>
    <mergeCell ref="N10:Q10"/>
    <mergeCell ref="N11:Q11"/>
    <mergeCell ref="N12:Q12"/>
    <mergeCell ref="C13:C15"/>
    <mergeCell ref="N13:Q13"/>
    <mergeCell ref="N14:Q14"/>
    <mergeCell ref="D18:E18"/>
    <mergeCell ref="D19:E19"/>
    <mergeCell ref="C21:H21"/>
    <mergeCell ref="K21:N21"/>
    <mergeCell ref="B22:B23"/>
    <mergeCell ref="C22:H22"/>
    <mergeCell ref="K22:N22"/>
    <mergeCell ref="C23:H23"/>
    <mergeCell ref="K23:N23"/>
    <mergeCell ref="C24:F24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"/>
  <sheetViews>
    <sheetView showFormulas="false" showGridLines="true" showRowColHeaders="true" showZeros="true" rightToLeft="false" tabSelected="false" showOutlineSymbols="true" defaultGridColor="true" view="normal" topLeftCell="A1" colorId="64" zoomScale="94" zoomScaleNormal="94" zoomScalePageLayoutView="100" workbookViewId="0">
      <selection pane="topLeft" activeCell="C11" activeCellId="0" sqref="C11"/>
    </sheetView>
  </sheetViews>
  <sheetFormatPr defaultColWidth="8.453125" defaultRowHeight="14.25" zeroHeight="false" outlineLevelRow="0" outlineLevelCol="0"/>
  <cols>
    <col collapsed="false" customWidth="true" hidden="false" outlineLevel="0" max="9" min="9" style="0" width="11.9"/>
    <col collapsed="false" customWidth="true" hidden="false" outlineLevel="0" max="11" min="11" style="0" width="12.54"/>
  </cols>
  <sheetData>
    <row r="1" customFormat="false" ht="14.25" hidden="false" customHeight="false" outlineLevel="0" collapsed="false">
      <c r="A1" s="1" t="s">
        <v>34</v>
      </c>
      <c r="B1" s="10" t="s">
        <v>0</v>
      </c>
      <c r="C1" s="10"/>
      <c r="D1" s="163" t="s">
        <v>35</v>
      </c>
      <c r="E1" s="163"/>
      <c r="F1" s="163"/>
      <c r="G1" s="163"/>
      <c r="H1" s="4" t="s">
        <v>2</v>
      </c>
      <c r="I1" s="4" t="n">
        <v>2</v>
      </c>
    </row>
    <row r="2" customFormat="false" ht="14.25" hidden="false" customHeight="false" outlineLevel="0" collapsed="false">
      <c r="A2" s="6"/>
      <c r="B2" s="10"/>
      <c r="C2" s="10"/>
      <c r="D2" s="7" t="s">
        <v>36</v>
      </c>
      <c r="E2" s="7"/>
      <c r="F2" s="8" t="s">
        <v>37</v>
      </c>
      <c r="G2" s="8"/>
      <c r="H2" s="4"/>
      <c r="I2" s="4"/>
      <c r="K2" s="10" t="s">
        <v>3</v>
      </c>
      <c r="L2" s="10"/>
    </row>
    <row r="3" customFormat="false" ht="14.25" hidden="false" customHeight="true" outlineLevel="0" collapsed="false">
      <c r="A3" s="6"/>
      <c r="B3" s="164" t="s">
        <v>38</v>
      </c>
      <c r="C3" s="12" t="s">
        <v>39</v>
      </c>
      <c r="D3" s="165" t="n">
        <f aca="false">D4/$H$9</f>
        <v>0.0590659340659341</v>
      </c>
      <c r="E3" s="14" t="n">
        <f aca="false">H4*D9/$H$9</f>
        <v>59.5521978021978</v>
      </c>
      <c r="F3" s="165" t="n">
        <f aca="false">F4/$H$9</f>
        <v>0.221840659340659</v>
      </c>
      <c r="G3" s="14" t="n">
        <f aca="false">H4*F9/$H$9</f>
        <v>349.447802197802</v>
      </c>
      <c r="H3" s="15"/>
      <c r="I3" s="16"/>
      <c r="K3" s="17" t="s">
        <v>6</v>
      </c>
      <c r="L3" s="18" t="n">
        <f aca="false">MIN(E3,G3,E6,G6)</f>
        <v>59.5521978021978</v>
      </c>
    </row>
    <row r="4" customFormat="false" ht="14.25" hidden="false" customHeight="false" outlineLevel="0" collapsed="false">
      <c r="A4" s="6"/>
      <c r="B4" s="164"/>
      <c r="C4" s="12"/>
      <c r="D4" s="19" t="n">
        <v>86</v>
      </c>
      <c r="E4" s="20" t="n">
        <f aca="false">D4/$H$4</f>
        <v>0.210268948655257</v>
      </c>
      <c r="F4" s="21" t="n">
        <v>323</v>
      </c>
      <c r="G4" s="20" t="n">
        <f aca="false">F4/$H$4</f>
        <v>0.789731051344743</v>
      </c>
      <c r="H4" s="19" t="n">
        <f aca="false">D4+F4</f>
        <v>409</v>
      </c>
      <c r="I4" s="23" t="n">
        <f aca="false">E4+G4</f>
        <v>1</v>
      </c>
      <c r="K4" s="25" t="s">
        <v>40</v>
      </c>
      <c r="L4" s="25" t="str">
        <f aca="false">IF(L3&lt;5,"sim","não")</f>
        <v>não</v>
      </c>
    </row>
    <row r="5" customFormat="false" ht="14.25" hidden="false" customHeight="false" outlineLevel="0" collapsed="false">
      <c r="A5" s="6"/>
      <c r="B5" s="164"/>
      <c r="C5" s="12"/>
      <c r="D5" s="26" t="n">
        <f aca="false">D4/D9</f>
        <v>0.405660377358491</v>
      </c>
      <c r="E5" s="166" t="n">
        <f aca="false">(D4-E3)*(D4-E3)/E3</f>
        <v>11.7457670230309</v>
      </c>
      <c r="F5" s="20" t="n">
        <f aca="false">F4/F9</f>
        <v>0.259646302250804</v>
      </c>
      <c r="G5" s="166" t="n">
        <f aca="false">(F4-G3)*(F4-G3)/G3</f>
        <v>2.00169020006637</v>
      </c>
      <c r="H5" s="26" t="n">
        <f aca="false">H4/H9</f>
        <v>0.280906593406593</v>
      </c>
      <c r="I5" s="29"/>
      <c r="K5" s="30" t="s">
        <v>41</v>
      </c>
      <c r="L5" s="30"/>
      <c r="M5" s="25" t="str">
        <f aca="false">IF(OR(E3&gt;=5,E6&gt;=5,G3&gt;=5,G6&gt;=5),IF(OR(E3&lt;=10,E6&lt;=10,G3&lt;=10,G6&lt;=10),"sim","não"))</f>
        <v>não</v>
      </c>
    </row>
    <row r="6" customFormat="false" ht="14.25" hidden="false" customHeight="false" outlineLevel="0" collapsed="false">
      <c r="A6" s="6"/>
      <c r="B6" s="164"/>
      <c r="C6" s="31" t="s">
        <v>42</v>
      </c>
      <c r="D6" s="165" t="n">
        <f aca="false">D7/$H$9</f>
        <v>0.0865384615384615</v>
      </c>
      <c r="E6" s="14" t="n">
        <f aca="false">H7*D9/$H$9</f>
        <v>152.447802197802</v>
      </c>
      <c r="F6" s="165" t="n">
        <f aca="false">F7/$H$9</f>
        <v>0.632554945054945</v>
      </c>
      <c r="G6" s="14" t="n">
        <f aca="false">H7*F9/$H$9</f>
        <v>894.552197802198</v>
      </c>
      <c r="H6" s="32"/>
      <c r="I6" s="29"/>
      <c r="K6" s="33" t="s">
        <v>10</v>
      </c>
      <c r="L6" s="33"/>
      <c r="M6" s="33"/>
    </row>
    <row r="7" customFormat="false" ht="14.25" hidden="false" customHeight="false" outlineLevel="0" collapsed="false">
      <c r="A7" s="6"/>
      <c r="B7" s="164"/>
      <c r="C7" s="31"/>
      <c r="D7" s="19" t="n">
        <v>126</v>
      </c>
      <c r="E7" s="20" t="n">
        <f aca="false">D7/$H$7</f>
        <v>0.120343839541547</v>
      </c>
      <c r="F7" s="21" t="n">
        <v>921</v>
      </c>
      <c r="G7" s="20" t="n">
        <f aca="false">F7/$H$7</f>
        <v>0.879656160458453</v>
      </c>
      <c r="H7" s="19" t="n">
        <f aca="false">D7+F7</f>
        <v>1047</v>
      </c>
      <c r="I7" s="23" t="n">
        <f aca="false">E7+G7</f>
        <v>1</v>
      </c>
      <c r="K7" s="34" t="s">
        <v>11</v>
      </c>
      <c r="L7" s="34"/>
      <c r="M7" s="34"/>
    </row>
    <row r="8" customFormat="false" ht="14.25" hidden="false" customHeight="false" outlineLevel="0" collapsed="false">
      <c r="A8" s="6"/>
      <c r="B8" s="164"/>
      <c r="C8" s="31"/>
      <c r="D8" s="35" t="n">
        <f aca="false">D7/D9</f>
        <v>0.594339622641509</v>
      </c>
      <c r="E8" s="167" t="n">
        <f aca="false">(D7-E6)*(D7-E6)/E6</f>
        <v>4.58836553239699</v>
      </c>
      <c r="F8" s="37" t="n">
        <f aca="false">F7/F9</f>
        <v>0.740353697749196</v>
      </c>
      <c r="G8" s="167" t="n">
        <f aca="false">(F7-G6)*(F7-G6)/G6</f>
        <v>0.781940106807203</v>
      </c>
      <c r="H8" s="35" t="n">
        <f aca="false">H7/H9</f>
        <v>0.719093406593407</v>
      </c>
      <c r="I8" s="40"/>
    </row>
    <row r="9" customFormat="false" ht="14.25" hidden="false" customHeight="false" outlineLevel="0" collapsed="false">
      <c r="A9" s="6"/>
      <c r="C9" s="4" t="s">
        <v>43</v>
      </c>
      <c r="D9" s="58" t="n">
        <f aca="false">D4+D7</f>
        <v>212</v>
      </c>
      <c r="E9" s="168" t="n">
        <f aca="false">D9/$H$9</f>
        <v>0.145604395604396</v>
      </c>
      <c r="F9" s="169" t="n">
        <f aca="false">F4+F7</f>
        <v>1244</v>
      </c>
      <c r="G9" s="168" t="n">
        <f aca="false">F9/$H$9</f>
        <v>0.854395604395604</v>
      </c>
      <c r="H9" s="58" t="n">
        <f aca="false">H4+H7</f>
        <v>1456</v>
      </c>
      <c r="I9" s="60" t="n">
        <f aca="false">E9+G9</f>
        <v>1</v>
      </c>
    </row>
    <row r="10" customFormat="false" ht="14.25" hidden="false" customHeight="false" outlineLevel="0" collapsed="false">
      <c r="A10" s="6"/>
      <c r="C10" s="4"/>
      <c r="D10" s="35" t="n">
        <f aca="false">D5+D8</f>
        <v>1</v>
      </c>
      <c r="E10" s="170"/>
      <c r="F10" s="37" t="n">
        <f aca="false">F5+F8</f>
        <v>1</v>
      </c>
      <c r="G10" s="170"/>
      <c r="H10" s="171" t="n">
        <f aca="false">H5+H8</f>
        <v>1</v>
      </c>
      <c r="I10" s="172" t="n">
        <f aca="false">D3+F3+D6+F6</f>
        <v>1</v>
      </c>
    </row>
    <row r="11" customFormat="false" ht="14.25" hidden="false" customHeight="false" outlineLevel="0" collapsed="false">
      <c r="A11" s="6"/>
      <c r="C11" s="70" t="n">
        <v>2</v>
      </c>
      <c r="D11" s="66" t="s">
        <v>20</v>
      </c>
      <c r="E11" s="66"/>
      <c r="F11" s="173" t="n">
        <v>0.05</v>
      </c>
      <c r="G11" s="68" t="s">
        <v>21</v>
      </c>
      <c r="H11" s="174" t="n">
        <f aca="false">(I1-1)*(C11-1)</f>
        <v>1</v>
      </c>
      <c r="I11" s="175"/>
      <c r="J11" s="176" t="n">
        <f aca="false">E5+E8+G5+G8</f>
        <v>19.1177628623015</v>
      </c>
    </row>
    <row r="12" customFormat="false" ht="14.25" hidden="false" customHeight="false" outlineLevel="0" collapsed="false">
      <c r="A12" s="6"/>
      <c r="G12" s="177"/>
      <c r="H12" s="178" t="n">
        <v>3.84</v>
      </c>
    </row>
    <row r="13" customFormat="false" ht="15" hidden="false" customHeight="true" outlineLevel="0" collapsed="false">
      <c r="A13" s="6"/>
      <c r="C13" s="74" t="s">
        <v>24</v>
      </c>
      <c r="D13" s="179" t="s">
        <v>44</v>
      </c>
      <c r="E13" s="179"/>
      <c r="F13" s="179"/>
      <c r="G13" s="179"/>
      <c r="H13" s="179"/>
      <c r="I13" s="179"/>
      <c r="J13" s="80" t="str">
        <f aca="false">IF(J11&gt;H12,"Rejeita","Deixa Rejeitar")</f>
        <v>Rejeita</v>
      </c>
      <c r="K13" s="80"/>
    </row>
    <row r="14" customFormat="false" ht="14.25" hidden="false" customHeight="false" outlineLevel="0" collapsed="false">
      <c r="A14" s="6"/>
      <c r="C14" s="74"/>
      <c r="D14" s="180" t="s">
        <v>45</v>
      </c>
      <c r="E14" s="180"/>
      <c r="F14" s="180"/>
      <c r="G14" s="180"/>
      <c r="H14" s="180"/>
      <c r="I14" s="180"/>
      <c r="J14" s="79" t="str">
        <f aca="false">IF(I10&gt;H12,"Apoia","Deixa de apoiar")</f>
        <v>Deixa de apoiar</v>
      </c>
      <c r="K14" s="79"/>
    </row>
    <row r="15" customFormat="false" ht="14.25" hidden="false" customHeight="false" outlineLevel="0" collapsed="false">
      <c r="A15" s="6"/>
      <c r="H15" s="181" t="s">
        <v>28</v>
      </c>
      <c r="I15" s="82" t="n">
        <f aca="false">H9</f>
        <v>1456</v>
      </c>
      <c r="J15" s="182" t="s">
        <v>46</v>
      </c>
      <c r="K15" s="183" t="n">
        <f aca="false">IF(I1&lt;C11,I1,C11)</f>
        <v>2</v>
      </c>
    </row>
    <row r="16" customFormat="false" ht="14.25" hidden="false" customHeight="false" outlineLevel="0" collapsed="false">
      <c r="A16" s="6"/>
      <c r="D16" s="184" t="s">
        <v>47</v>
      </c>
      <c r="E16" s="184"/>
      <c r="F16" s="184"/>
      <c r="G16" s="184"/>
      <c r="H16" s="184"/>
      <c r="I16" s="184"/>
      <c r="J16" s="185" t="n">
        <f aca="false">SQRT(K15*J11/((K15-1)*(I15+J11)))</f>
        <v>0.160997890866123</v>
      </c>
      <c r="K16" s="181" t="s">
        <v>48</v>
      </c>
    </row>
    <row r="17" customFormat="false" ht="14.25" hidden="false" customHeight="false" outlineLevel="0" collapsed="false">
      <c r="D17" s="184" t="s">
        <v>49</v>
      </c>
      <c r="E17" s="184"/>
      <c r="F17" s="184"/>
      <c r="G17" s="184"/>
      <c r="H17" s="184"/>
      <c r="I17" s="184"/>
      <c r="J17" s="185" t="n">
        <f aca="false">SQRT(I10/I15)</f>
        <v>0.026207120918048</v>
      </c>
      <c r="K17" s="181" t="s">
        <v>48</v>
      </c>
    </row>
    <row r="18" customFormat="false" ht="14.25" hidden="false" customHeight="false" outlineLevel="0" collapsed="false">
      <c r="D18" s="186" t="s">
        <v>50</v>
      </c>
      <c r="E18" s="186"/>
      <c r="F18" s="186"/>
      <c r="G18" s="186"/>
      <c r="H18" s="186"/>
      <c r="I18" s="186"/>
      <c r="J18" s="185" t="n">
        <f aca="false">SQRT(I10/(I15*(K15-1)))</f>
        <v>0.026207120918048</v>
      </c>
      <c r="K18" s="181" t="s">
        <v>48</v>
      </c>
    </row>
  </sheetData>
  <mergeCells count="23">
    <mergeCell ref="B1:C2"/>
    <mergeCell ref="D1:G1"/>
    <mergeCell ref="H1:H2"/>
    <mergeCell ref="I1:I2"/>
    <mergeCell ref="D2:E2"/>
    <mergeCell ref="F2:G2"/>
    <mergeCell ref="K2:L2"/>
    <mergeCell ref="B3:B8"/>
    <mergeCell ref="C3:C5"/>
    <mergeCell ref="K5:L5"/>
    <mergeCell ref="C6:C8"/>
    <mergeCell ref="K6:M6"/>
    <mergeCell ref="K7:M7"/>
    <mergeCell ref="C9:C10"/>
    <mergeCell ref="D11:E11"/>
    <mergeCell ref="C13:C14"/>
    <mergeCell ref="D13:I13"/>
    <mergeCell ref="J13:K13"/>
    <mergeCell ref="D14:I14"/>
    <mergeCell ref="J14:K14"/>
    <mergeCell ref="D16:I16"/>
    <mergeCell ref="D17:I17"/>
    <mergeCell ref="D18:I18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LibreOffice/24.2.3.2$Windows_X86_64 LibreOffice_project/433d9c2ded56988e8a90e6b2e771ee4e6a5ab2ba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Cleuler</dc:creator>
  <dc:description/>
  <dc:language>pt-BR</dc:language>
  <cp:lastModifiedBy/>
  <dcterms:modified xsi:type="dcterms:W3CDTF">2024-08-20T05:03:04Z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