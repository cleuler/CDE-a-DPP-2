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lanilha1" sheetId="1" state="visible" r:id="rId3"/>
    <sheet name="Planilha3" sheetId="2" state="visible" r:id="rId4"/>
    <sheet name="Planilha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<sst xmlns="http://schemas.openxmlformats.org/spreadsheetml/2006/main" count="190" uniqueCount="91">
  <si>
    <t xml:space="preserve">Censo Demográfico 2022</t>
  </si>
  <si>
    <t xml:space="preserve">Quilombolas - primeiros resultados</t>
  </si>
  <si>
    <t xml:space="preserve">Tabela 4 - Pessoas quilombolas por localização do domicílio em Territórios Quilombolas oficialmente delimitados e por Territórios Quilombolas titulados, segundo Unidades da Federação - 2022</t>
  </si>
  <si>
    <t xml:space="preserve">Nível Territorial</t>
  </si>
  <si>
    <t xml:space="preserve">Pessoas quilombolas</t>
  </si>
  <si>
    <t xml:space="preserve">2022</t>
  </si>
  <si>
    <t xml:space="preserve">Total</t>
  </si>
  <si>
    <t xml:space="preserve">Localização do domicílio</t>
  </si>
  <si>
    <t xml:space="preserve">Territórios Quilombolas oficialmente delimitados</t>
  </si>
  <si>
    <t xml:space="preserve">Territórios Quilombolas titulados</t>
  </si>
  <si>
    <t xml:space="preserve">Dentro</t>
  </si>
  <si>
    <t xml:space="preserve">Fora</t>
  </si>
  <si>
    <t xml:space="preserve">Percentual no total de quilombolas no recorte</t>
  </si>
  <si>
    <t xml:space="preserve">Percentual no total de pessoas quilombolas em territórios quilombolas no recorte</t>
  </si>
  <si>
    <t xml:space="preserve">Percentual no total de pessoas quilombolas no recorte</t>
  </si>
  <si>
    <t xml:space="preserve">Fora de territórios quilombolas titulados</t>
  </si>
  <si>
    <t xml:space="preserve">Brasil</t>
  </si>
  <si>
    <t xml:space="preserve">Norte</t>
  </si>
  <si>
    <t xml:space="preserve">Rondônia</t>
  </si>
  <si>
    <t xml:space="preserve">Acre</t>
  </si>
  <si>
    <t xml:space="preserve">-</t>
  </si>
  <si>
    <t xml:space="preserve">- 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</si>
  <si>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</si>
  <si>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</si>
  <si>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</si>
  <si>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</si>
  <si>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</si>
  <si>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Nordeste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</si>
  <si>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</si>
  <si>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</si>
  <si>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</si>
  <si>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</si>
  <si>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</si>
  <si>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</si>
  <si>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</si>
  <si>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</si>
  <si>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</si>
  <si>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Sudeste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</si>
  <si>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</si>
  <si>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</si>
  <si>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</si>
  <si>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</si>
  <si>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Sul</t>
  </si>
  <si>
    <t xml:space="preserve">Paraná</t>
  </si>
  <si>
    <t xml:space="preserve">Santa Catarina</t>
  </si>
  <si>
    <t xml:space="preserve">Rio Grande do Sul</t>
  </si>
  <si>
    <t xml:space="preserve">Centro-Oeste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</si>
  <si>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</si>
  <si>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</si>
  <si>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</si>
  <si>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</si>
  <si>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Fonte: IBGE, Censo Demográfico 2022</t>
  </si>
  <si>
    <t xml:space="preserve">CD_UF</t>
  </si>
  <si>
    <t xml:space="preserve">SIGLA_UF</t>
  </si>
  <si>
    <t xml:space="preserve">NOME_UF</t>
  </si>
  <si>
    <t xml:space="preserve">GR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</si>
  <si>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</si>
  <si>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</si>
  <si>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</si>
  <si>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</si>
  <si>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</si>
  <si>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</si>
  <si>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</si>
  <si>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</si>
  <si>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</si>
  <si>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</si>
  <si>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</si>
  <si>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</si>
  <si>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</si>
  <si>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</si>
  <si>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</si>
  <si>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</si>
  <si>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</si>
  <si>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</si>
  <si>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</si>
  <si>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</si>
  <si>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</si>
  <si>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</si>
  <si>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</si>
  <si>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</si>
  <si>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</si>
  <si>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</si>
  <si>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</si>
  <si>
    <t xml:space="preserve">Tabela 9578 - População residente, total e quilombola, por localização do domicílio - Primeiros Resultados do Universo</t>
  </si>
  <si>
    <t xml:space="preserve">Variável - População residente (Pessoas)</t>
  </si>
  <si>
    <t xml:space="preserve">Nível</t>
  </si>
  <si>
    <t xml:space="preserve">Brasil, Amazônia Legal, Grande Região, Unidade da Federação e Município</t>
  </si>
  <si>
    <t xml:space="preserve">Ano x Localização do domicílio</t>
  </si>
  <si>
    <t xml:space="preserve">Em territórios quilombolas</t>
  </si>
  <si>
    <t xml:space="preserve">Fora de territórios quilombolas</t>
  </si>
  <si>
    <t xml:space="preserve">BR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</si>
</sst>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_-* #,##0.00_-;\-* #,##0.00_-;_-* \-??_-;_-@_-"/>
  </numFmts>
  <fonts count="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9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14.42578125" defaultRowHeight="15" zeroHeight="false" outlineLevelRow="0" outlineLevelCol="0"/>
  <cols>
    <col collapsed="false" customWidth="true" hidden="false" outlineLevel="0" max="1" min="1" style="0" width="20.14"/>
    <col collapsed="false" customWidth="true" hidden="false" outlineLevel="0" max="2" min="2" style="0" width="11"/>
    <col collapsed="false" customWidth="true" hidden="false" outlineLevel="0" max="7" min="3" style="0" width="12.15"/>
    <col collapsed="false" customWidth="true" hidden="false" outlineLevel="0" max="8" min="8" style="0" width="13.71"/>
    <col collapsed="false" customWidth="true" hidden="false" outlineLevel="0" max="11" min="9" style="0" width="12.15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32.2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true" outlineLevel="0" collapsed="false">
      <c r="A5" s="3" t="s">
        <v>3</v>
      </c>
      <c r="B5" s="4" t="s">
        <v>4</v>
      </c>
      <c r="C5" s="4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true" outlineLevel="0" collapsed="false">
      <c r="A6" s="3"/>
      <c r="B6" s="5" t="s">
        <v>5</v>
      </c>
      <c r="C6" s="5"/>
      <c r="D6" s="5"/>
      <c r="E6" s="5"/>
      <c r="F6" s="5"/>
      <c r="G6" s="5"/>
      <c r="H6" s="5"/>
      <c r="I6" s="5"/>
      <c r="J6" s="5"/>
      <c r="K6" s="5"/>
    </row>
    <row r="7" customFormat="false" ht="15" hidden="false" customHeight="true" outlineLevel="0" collapsed="false">
      <c r="A7" s="3"/>
      <c r="B7" s="3" t="s">
        <v>6</v>
      </c>
      <c r="C7" s="5" t="s">
        <v>7</v>
      </c>
      <c r="D7" s="5"/>
      <c r="E7" s="5"/>
      <c r="F7" s="5"/>
      <c r="G7" s="5"/>
      <c r="H7" s="5"/>
      <c r="I7" s="5"/>
      <c r="J7" s="5"/>
      <c r="K7" s="5"/>
    </row>
    <row r="8" customFormat="false" ht="15" hidden="false" customHeight="true" outlineLevel="0" collapsed="false">
      <c r="A8" s="3"/>
      <c r="B8" s="3"/>
      <c r="C8" s="6" t="s">
        <v>8</v>
      </c>
      <c r="D8" s="6"/>
      <c r="E8" s="6"/>
      <c r="F8" s="6"/>
      <c r="G8" s="7" t="s">
        <v>9</v>
      </c>
      <c r="H8" s="7"/>
      <c r="I8" s="7"/>
      <c r="J8" s="7"/>
      <c r="K8" s="7"/>
    </row>
    <row r="9" customFormat="false" ht="43.5" hidden="false" customHeight="true" outlineLevel="0" collapsed="false">
      <c r="A9" s="3"/>
      <c r="B9" s="3"/>
      <c r="C9" s="8" t="s">
        <v>10</v>
      </c>
      <c r="D9" s="8"/>
      <c r="E9" s="8" t="s">
        <v>11</v>
      </c>
      <c r="F9" s="8"/>
      <c r="G9" s="8" t="s">
        <v>10</v>
      </c>
      <c r="H9" s="8"/>
      <c r="I9" s="8"/>
      <c r="J9" s="6" t="s">
        <v>11</v>
      </c>
      <c r="K9" s="6"/>
    </row>
    <row r="10" customFormat="false" ht="112.5" hidden="false" customHeight="true" outlineLevel="0" collapsed="false">
      <c r="A10" s="3"/>
      <c r="B10" s="3"/>
      <c r="C10" s="3" t="s">
        <v>6</v>
      </c>
      <c r="D10" s="9" t="s">
        <v>12</v>
      </c>
      <c r="E10" s="8" t="s">
        <v>6</v>
      </c>
      <c r="F10" s="9" t="s">
        <v>12</v>
      </c>
      <c r="G10" s="8" t="s">
        <v>6</v>
      </c>
      <c r="H10" s="8" t="s">
        <v>13</v>
      </c>
      <c r="I10" s="9" t="s">
        <v>14</v>
      </c>
      <c r="J10" s="9" t="s">
        <v>15</v>
      </c>
      <c r="K10" s="5" t="s">
        <v>14</v>
      </c>
    </row>
    <row r="11" customFormat="false" ht="15" hidden="false" customHeight="false" outlineLevel="0" collapsed="false">
      <c r="A11" s="10" t="s">
        <v>16</v>
      </c>
      <c r="B11" s="11" t="n">
        <v>1327802</v>
      </c>
      <c r="C11" s="12" t="n">
        <v>167202</v>
      </c>
      <c r="D11" s="13" t="n">
        <f aca="false">IFERROR(C11/B11,"-")</f>
        <v>0.125923895279567</v>
      </c>
      <c r="E11" s="14" t="n">
        <v>1160600</v>
      </c>
      <c r="F11" s="15" t="n">
        <f aca="false">E11/B11</f>
        <v>0.874076104720433</v>
      </c>
      <c r="G11" s="12" t="n">
        <v>57442</v>
      </c>
      <c r="H11" s="13" t="n">
        <f aca="false">IFERROR(G11/C11,"-")</f>
        <v>0.343548522146864</v>
      </c>
      <c r="I11" s="13" t="n">
        <f aca="false">IFERROR(G11/B11,"-")</f>
        <v>0.0432609681262718</v>
      </c>
      <c r="J11" s="14" t="n">
        <v>1270360</v>
      </c>
      <c r="K11" s="13" t="n">
        <f aca="false">J11/B11</f>
        <v>0.956739031873728</v>
      </c>
    </row>
    <row r="12" customFormat="false" ht="15" hidden="false" customHeight="false" outlineLevel="0" collapsed="false">
      <c r="A12" s="16" t="s">
        <v>17</v>
      </c>
      <c r="B12" s="17" t="n">
        <v>166069</v>
      </c>
      <c r="C12" s="18" t="n">
        <v>52012</v>
      </c>
      <c r="D12" s="19" t="n">
        <f aca="false">IFERROR(C12/B12,"-")</f>
        <v>0.313195117692044</v>
      </c>
      <c r="E12" s="20" t="n">
        <v>114057</v>
      </c>
      <c r="F12" s="21" t="n">
        <f aca="false">E12/B12</f>
        <v>0.686804882307956</v>
      </c>
      <c r="G12" s="18" t="n">
        <v>39786</v>
      </c>
      <c r="H12" s="19" t="n">
        <f aca="false">IFERROR(G12/C12,"-")</f>
        <v>0.764938860263016</v>
      </c>
      <c r="I12" s="19" t="n">
        <f aca="false">IFERROR(G12/B12,"-")</f>
        <v>0.239575116367293</v>
      </c>
      <c r="J12" s="20" t="n">
        <v>166069</v>
      </c>
      <c r="K12" s="19" t="n">
        <f aca="false">J12/B12</f>
        <v>1</v>
      </c>
    </row>
    <row r="13" customFormat="false" ht="15" hidden="false" customHeight="false" outlineLevel="0" collapsed="false">
      <c r="A13" s="22" t="s">
        <v>18</v>
      </c>
      <c r="B13" s="23" t="n">
        <v>2926</v>
      </c>
      <c r="C13" s="24" t="n">
        <v>221</v>
      </c>
      <c r="D13" s="25" t="n">
        <f aca="false">IFERROR(C13/B13,"-")</f>
        <v>0.0755297334244703</v>
      </c>
      <c r="E13" s="26" t="n">
        <v>2705</v>
      </c>
      <c r="F13" s="27" t="n">
        <f aca="false">E13/B13</f>
        <v>0.92447026657553</v>
      </c>
      <c r="G13" s="24" t="n">
        <v>92</v>
      </c>
      <c r="H13" s="25" t="n">
        <f aca="false">IFERROR(G13/C13,"-")</f>
        <v>0.416289592760181</v>
      </c>
      <c r="I13" s="25" t="n">
        <f aca="false">IFERROR(G13/B13,"-")</f>
        <v>0.0314422419685578</v>
      </c>
      <c r="J13" s="26" t="n">
        <v>2834</v>
      </c>
      <c r="K13" s="25" t="n">
        <f aca="false">J13/B13</f>
        <v>0.968557758031442</v>
      </c>
    </row>
    <row r="14" customFormat="false" ht="15" hidden="false" customHeight="false" outlineLevel="0" collapsed="false">
      <c r="A14" s="22" t="s">
        <v>19</v>
      </c>
      <c r="B14" s="28" t="s">
        <v>20</v>
      </c>
      <c r="C14" s="29" t="s">
        <v>21</v>
      </c>
      <c r="D14" s="30" t="str">
        <f aca="false">IFERROR(C14/B14,"-")</f>
        <v>-</v>
      </c>
      <c r="E14" s="31" t="s">
        <v>20</v>
      </c>
      <c r="F14" s="32" t="s">
        <v>20</v>
      </c>
      <c r="G14" s="29" t="s">
        <v>21</v>
      </c>
      <c r="H14" s="30" t="str">
        <f aca="false">IFERROR(G14/C14,"-")</f>
        <v>-</v>
      </c>
      <c r="I14" s="30" t="str">
        <f aca="false">IFERROR(G14/B14,"-")</f>
        <v>-</v>
      </c>
      <c r="J14" s="31" t="s">
        <v>20</v>
      </c>
      <c r="K14" s="30" t="s">
        <v>20</v>
      </c>
    </row>
    <row r="15" customFormat="false" ht="15" hidden="false" customHeight="false" outlineLevel="0" collapsed="false">
      <c r="A15" s="22" t="s">
        <v>22</v>
      </c>
      <c r="B15" s="28" t="n">
        <v>2705</v>
      </c>
      <c r="C15" s="29" t="n">
        <v>1229</v>
      </c>
      <c r="D15" s="30" t="n">
        <f aca="false">IFERROR(C15/B15,"-")</f>
        <v>0.454343807763401</v>
      </c>
      <c r="E15" s="31" t="n">
        <v>1476</v>
      </c>
      <c r="F15" s="32" t="n">
        <f aca="false">E15/B15</f>
        <v>0.545656192236599</v>
      </c>
      <c r="G15" s="29" t="s">
        <v>20</v>
      </c>
      <c r="H15" s="30" t="str">
        <f aca="false">IFERROR(G15/C15,"-")</f>
        <v>-</v>
      </c>
      <c r="I15" s="30" t="str">
        <f aca="false">IFERROR(G15/B15,"-")</f>
        <v>-</v>
      </c>
      <c r="J15" s="31" t="n">
        <v>2705</v>
      </c>
      <c r="K15" s="30" t="n">
        <f aca="false">J15/B15</f>
        <v>1</v>
      </c>
    </row>
    <row r="16" customFormat="false" ht="15" hidden="false" customHeight="false" outlineLevel="0" collapsed="false">
      <c r="A16" s="22" t="s">
        <v>23</v>
      </c>
      <c r="B16" s="28" t="s">
        <v>20</v>
      </c>
      <c r="C16" s="29" t="s">
        <v>21</v>
      </c>
      <c r="D16" s="30" t="str">
        <f aca="false">IFERROR(C16/B16,"-")</f>
        <v>-</v>
      </c>
      <c r="E16" s="31" t="s">
        <v>20</v>
      </c>
      <c r="F16" s="32" t="s">
        <v>20</v>
      </c>
      <c r="G16" s="29" t="s">
        <v>21</v>
      </c>
      <c r="H16" s="30" t="str">
        <f aca="false">IFERROR(G16/C16,"-")</f>
        <v>-</v>
      </c>
      <c r="I16" s="30" t="str">
        <f aca="false">IFERROR(G16/B16,"-")</f>
        <v>-</v>
      </c>
      <c r="J16" s="31" t="s">
        <v>20</v>
      </c>
      <c r="K16" s="30" t="s">
        <v>20</v>
      </c>
    </row>
    <row r="17" customFormat="false" ht="15" hidden="false" customHeight="false" outlineLevel="0" collapsed="false">
      <c r="A17" s="22" t="s">
        <v>24</v>
      </c>
      <c r="B17" s="28" t="n">
        <v>135033</v>
      </c>
      <c r="C17" s="29" t="n">
        <v>44533</v>
      </c>
      <c r="D17" s="30" t="n">
        <f aca="false">IFERROR(C17/B17,"-")</f>
        <v>0.329793457895477</v>
      </c>
      <c r="E17" s="31" t="n">
        <v>90500</v>
      </c>
      <c r="F17" s="32" t="n">
        <f aca="false">E17/B17</f>
        <v>0.670206542104523</v>
      </c>
      <c r="G17" s="29" t="n">
        <v>37929</v>
      </c>
      <c r="H17" s="30" t="n">
        <f aca="false">IFERROR(G17/C17,"-")</f>
        <v>0.851705476837402</v>
      </c>
      <c r="I17" s="30" t="n">
        <f aca="false">IFERROR(G17/B17,"-")</f>
        <v>0.280886894314723</v>
      </c>
      <c r="J17" s="31" t="n">
        <v>97104</v>
      </c>
      <c r="K17" s="30" t="n">
        <f aca="false">J17/B17</f>
        <v>0.719113105685277</v>
      </c>
    </row>
    <row r="18" customFormat="false" ht="15" hidden="false" customHeight="false" outlineLevel="0" collapsed="false">
      <c r="A18" s="22" t="s">
        <v>25</v>
      </c>
      <c r="B18" s="28" t="n">
        <v>12524</v>
      </c>
      <c r="C18" s="29" t="n">
        <v>4701</v>
      </c>
      <c r="D18" s="30" t="n">
        <f aca="false">IFERROR(C18/B18,"-")</f>
        <v>0.375359310124561</v>
      </c>
      <c r="E18" s="31" t="n">
        <v>7823</v>
      </c>
      <c r="F18" s="32" t="n">
        <f aca="false">E18/B18</f>
        <v>0.624640689875439</v>
      </c>
      <c r="G18" s="29" t="n">
        <v>1765</v>
      </c>
      <c r="H18" s="30" t="n">
        <f aca="false">IFERROR(G18/C18,"-")</f>
        <v>0.375452031482663</v>
      </c>
      <c r="I18" s="30" t="n">
        <f aca="false">IFERROR(G18/B18,"-")</f>
        <v>0.140929415522197</v>
      </c>
      <c r="J18" s="31" t="n">
        <v>10759</v>
      </c>
      <c r="K18" s="30" t="n">
        <f aca="false">J18/B18</f>
        <v>0.859070584477803</v>
      </c>
    </row>
    <row r="19" customFormat="false" ht="15" hidden="false" customHeight="false" outlineLevel="0" collapsed="false">
      <c r="A19" s="22" t="s">
        <v>26</v>
      </c>
      <c r="B19" s="28" t="n">
        <v>12881</v>
      </c>
      <c r="C19" s="29" t="n">
        <v>1328</v>
      </c>
      <c r="D19" s="30" t="n">
        <f aca="false">IFERROR(C19/B19,"-")</f>
        <v>0.103097585591181</v>
      </c>
      <c r="E19" s="31" t="n">
        <v>11553</v>
      </c>
      <c r="F19" s="32" t="n">
        <f aca="false">E19/B19</f>
        <v>0.896902414408819</v>
      </c>
      <c r="G19" s="29" t="s">
        <v>20</v>
      </c>
      <c r="H19" s="30" t="str">
        <f aca="false">IFERROR(G19/C19,"-")</f>
        <v>-</v>
      </c>
      <c r="I19" s="30" t="str">
        <f aca="false">IFERROR(G19/B19,"-")</f>
        <v>-</v>
      </c>
      <c r="J19" s="31" t="n">
        <v>12881</v>
      </c>
      <c r="K19" s="30" t="n">
        <f aca="false">J19/B19</f>
        <v>1</v>
      </c>
    </row>
    <row r="20" customFormat="false" ht="15" hidden="false" customHeight="false" outlineLevel="0" collapsed="false">
      <c r="A20" s="16" t="s">
        <v>27</v>
      </c>
      <c r="B20" s="17" t="n">
        <v>905415</v>
      </c>
      <c r="C20" s="18" t="n">
        <v>89350</v>
      </c>
      <c r="D20" s="19" t="n">
        <f aca="false">IFERROR(C20/B20,"-")</f>
        <v>0.0986840288707388</v>
      </c>
      <c r="E20" s="20" t="n">
        <v>816065</v>
      </c>
      <c r="F20" s="21" t="n">
        <f aca="false">E20/B20</f>
        <v>0.901315971129261</v>
      </c>
      <c r="G20" s="18" t="n">
        <v>12044</v>
      </c>
      <c r="H20" s="19" t="n">
        <f aca="false">IFERROR(G20/C20,"-")</f>
        <v>0.134795747062115</v>
      </c>
      <c r="I20" s="19" t="n">
        <f aca="false">IFERROR(G20/B20,"-")</f>
        <v>0.0133021873947306</v>
      </c>
      <c r="J20" s="20" t="n">
        <v>905415</v>
      </c>
      <c r="K20" s="19" t="n">
        <f aca="false">J20/B20</f>
        <v>1</v>
      </c>
    </row>
    <row r="21" customFormat="false" ht="15" hidden="false" customHeight="false" outlineLevel="0" collapsed="false">
      <c r="A21" s="22" t="s">
        <v>28</v>
      </c>
      <c r="B21" s="28" t="n">
        <v>269074</v>
      </c>
      <c r="C21" s="29" t="n">
        <v>29044</v>
      </c>
      <c r="D21" s="30" t="n">
        <f aca="false">IFERROR(C21/B21,"-")</f>
        <v>0.1079405665356</v>
      </c>
      <c r="E21" s="31" t="n">
        <v>240030</v>
      </c>
      <c r="F21" s="32" t="n">
        <f aca="false">E21/B21</f>
        <v>0.8920594334644</v>
      </c>
      <c r="G21" s="29" t="n">
        <v>9045</v>
      </c>
      <c r="H21" s="30" t="n">
        <f aca="false">IFERROR(G21/C21,"-")</f>
        <v>0.311424046274618</v>
      </c>
      <c r="I21" s="30" t="n">
        <f aca="false">IFERROR(G21/B21,"-")</f>
        <v>0.0336152879876911</v>
      </c>
      <c r="J21" s="31" t="n">
        <v>260029</v>
      </c>
      <c r="K21" s="30" t="n">
        <f aca="false">J21/B21</f>
        <v>0.966384712012309</v>
      </c>
    </row>
    <row r="22" customFormat="false" ht="15" hidden="false" customHeight="false" outlineLevel="0" collapsed="false">
      <c r="A22" s="22" t="s">
        <v>29</v>
      </c>
      <c r="B22" s="28" t="n">
        <v>31686</v>
      </c>
      <c r="C22" s="29" t="n">
        <v>8411</v>
      </c>
      <c r="D22" s="30" t="n">
        <f aca="false">IFERROR(C22/B22,"-")</f>
        <v>0.265448463043615</v>
      </c>
      <c r="E22" s="31" t="n">
        <v>23275</v>
      </c>
      <c r="F22" s="32" t="n">
        <f aca="false">E22/B22</f>
        <v>0.734551536956385</v>
      </c>
      <c r="G22" s="29" t="n">
        <v>1785</v>
      </c>
      <c r="H22" s="30" t="n">
        <f aca="false">IFERROR(G22/C22,"-")</f>
        <v>0.212222090120081</v>
      </c>
      <c r="I22" s="30" t="n">
        <f aca="false">IFERROR(G22/B22,"-")</f>
        <v>0.0563340276462791</v>
      </c>
      <c r="J22" s="31" t="n">
        <v>29901</v>
      </c>
      <c r="K22" s="30" t="n">
        <f aca="false">J22/B22</f>
        <v>0.943665972353721</v>
      </c>
    </row>
    <row r="23" customFormat="false" ht="15" hidden="false" customHeight="false" outlineLevel="0" collapsed="false">
      <c r="A23" s="22" t="s">
        <v>30</v>
      </c>
      <c r="B23" s="28" t="n">
        <v>23955</v>
      </c>
      <c r="C23" s="29" t="n">
        <v>4595</v>
      </c>
      <c r="D23" s="30" t="n">
        <f aca="false">IFERROR(C23/B23,"-")</f>
        <v>0.191817992068462</v>
      </c>
      <c r="E23" s="31" t="n">
        <v>19360</v>
      </c>
      <c r="F23" s="32" t="n">
        <f aca="false">E23/B23</f>
        <v>0.808182007931538</v>
      </c>
      <c r="G23" s="29" t="s">
        <v>20</v>
      </c>
      <c r="H23" s="30" t="str">
        <f aca="false">IFERROR(G23/C23,"-")</f>
        <v>-</v>
      </c>
      <c r="I23" s="30" t="str">
        <f aca="false">IFERROR(G23/B23,"-")</f>
        <v>-</v>
      </c>
      <c r="J23" s="31" t="n">
        <v>23955</v>
      </c>
      <c r="K23" s="30" t="n">
        <f aca="false">J23/B23</f>
        <v>1</v>
      </c>
    </row>
    <row r="24" customFormat="false" ht="15" hidden="false" customHeight="false" outlineLevel="0" collapsed="false">
      <c r="A24" s="22" t="s">
        <v>31</v>
      </c>
      <c r="B24" s="28" t="n">
        <v>22384</v>
      </c>
      <c r="C24" s="29" t="n">
        <v>3445</v>
      </c>
      <c r="D24" s="30" t="n">
        <f aca="false">IFERROR(C24/B24,"-")</f>
        <v>0.153904574696212</v>
      </c>
      <c r="E24" s="31" t="n">
        <v>18939</v>
      </c>
      <c r="F24" s="32" t="n">
        <f aca="false">E24/B24</f>
        <v>0.846095425303789</v>
      </c>
      <c r="G24" s="29" t="n">
        <v>44</v>
      </c>
      <c r="H24" s="30" t="n">
        <f aca="false">IFERROR(G24/C24,"-")</f>
        <v>0.0127721335268505</v>
      </c>
      <c r="I24" s="30" t="n">
        <f aca="false">IFERROR(G24/B24,"-")</f>
        <v>0.00196568977841315</v>
      </c>
      <c r="J24" s="31" t="n">
        <v>22340</v>
      </c>
      <c r="K24" s="30" t="n">
        <f aca="false">J24/B24</f>
        <v>0.998034310221587</v>
      </c>
    </row>
    <row r="25" customFormat="false" ht="15" hidden="false" customHeight="false" outlineLevel="0" collapsed="false">
      <c r="A25" s="22" t="s">
        <v>32</v>
      </c>
      <c r="B25" s="28" t="n">
        <v>16584</v>
      </c>
      <c r="C25" s="29" t="n">
        <v>2918</v>
      </c>
      <c r="D25" s="30" t="n">
        <f aca="false">IFERROR(C25/B25,"-")</f>
        <v>0.175952725518572</v>
      </c>
      <c r="E25" s="31" t="n">
        <v>13666</v>
      </c>
      <c r="F25" s="32" t="n">
        <f aca="false">E25/B25</f>
        <v>0.824047274481428</v>
      </c>
      <c r="G25" s="29" t="s">
        <v>20</v>
      </c>
      <c r="H25" s="30" t="str">
        <f aca="false">IFERROR(G25/C25,"-")</f>
        <v>-</v>
      </c>
      <c r="I25" s="30" t="str">
        <f aca="false">IFERROR(G25/B25,"-")</f>
        <v>-</v>
      </c>
      <c r="J25" s="31" t="n">
        <v>16584</v>
      </c>
      <c r="K25" s="30" t="n">
        <f aca="false">J25/B25</f>
        <v>1</v>
      </c>
    </row>
    <row r="26" customFormat="false" ht="15" hidden="false" customHeight="false" outlineLevel="0" collapsed="false">
      <c r="A26" s="22" t="s">
        <v>33</v>
      </c>
      <c r="B26" s="28" t="n">
        <v>78827</v>
      </c>
      <c r="C26" s="29" t="n">
        <v>6769</v>
      </c>
      <c r="D26" s="30" t="n">
        <f aca="false">IFERROR(C26/B26,"-")</f>
        <v>0.0858715922209395</v>
      </c>
      <c r="E26" s="31" t="n">
        <v>72058</v>
      </c>
      <c r="F26" s="32" t="n">
        <f aca="false">E26/B26</f>
        <v>0.914128407779061</v>
      </c>
      <c r="G26" s="29" t="s">
        <v>20</v>
      </c>
      <c r="H26" s="30" t="str">
        <f aca="false">IFERROR(G26/C26,"-")</f>
        <v>-</v>
      </c>
      <c r="I26" s="30" t="str">
        <f aca="false">IFERROR(G26/B26,"-")</f>
        <v>-</v>
      </c>
      <c r="J26" s="31" t="n">
        <v>78827</v>
      </c>
      <c r="K26" s="30" t="n">
        <f aca="false">J26/B26</f>
        <v>1</v>
      </c>
    </row>
    <row r="27" customFormat="false" ht="15.75" hidden="false" customHeight="true" outlineLevel="0" collapsed="false">
      <c r="A27" s="22" t="s">
        <v>34</v>
      </c>
      <c r="B27" s="28" t="n">
        <v>37722</v>
      </c>
      <c r="C27" s="29" t="n">
        <v>691</v>
      </c>
      <c r="D27" s="30" t="n">
        <f aca="false">IFERROR(C27/B27,"-")</f>
        <v>0.0183182227877631</v>
      </c>
      <c r="E27" s="31" t="n">
        <v>37031</v>
      </c>
      <c r="F27" s="32" t="n">
        <f aca="false">E27/B27</f>
        <v>0.981681777212237</v>
      </c>
      <c r="G27" s="33" t="s">
        <v>20</v>
      </c>
      <c r="H27" s="30" t="str">
        <f aca="false">IFERROR(G27/C27,"-")</f>
        <v>-</v>
      </c>
      <c r="I27" s="30" t="str">
        <f aca="false">IFERROR(G27/B27,"-")</f>
        <v>-</v>
      </c>
      <c r="J27" s="31" t="n">
        <v>37722</v>
      </c>
      <c r="K27" s="30" t="n">
        <f aca="false">J27/B27</f>
        <v>1</v>
      </c>
    </row>
    <row r="28" customFormat="false" ht="15.75" hidden="false" customHeight="true" outlineLevel="0" collapsed="false">
      <c r="A28" s="22" t="s">
        <v>35</v>
      </c>
      <c r="B28" s="28" t="n">
        <v>28124</v>
      </c>
      <c r="C28" s="29" t="n">
        <v>12724</v>
      </c>
      <c r="D28" s="30" t="n">
        <f aca="false">IFERROR(C28/B28,"-")</f>
        <v>0.452424975110226</v>
      </c>
      <c r="E28" s="31" t="n">
        <v>15400</v>
      </c>
      <c r="F28" s="32" t="n">
        <f aca="false">E28/B28</f>
        <v>0.547575024889774</v>
      </c>
      <c r="G28" s="29" t="n">
        <v>766</v>
      </c>
      <c r="H28" s="30" t="n">
        <f aca="false">IFERROR(G28/C28,"-")</f>
        <v>0.0602011945928953</v>
      </c>
      <c r="I28" s="30" t="n">
        <f aca="false">IFERROR(G28/B28,"-")</f>
        <v>0.0272365239652965</v>
      </c>
      <c r="J28" s="31" t="n">
        <v>27358</v>
      </c>
      <c r="K28" s="30" t="n">
        <f aca="false">J28/B28</f>
        <v>0.972763476034704</v>
      </c>
    </row>
    <row r="29" customFormat="false" ht="15.75" hidden="false" customHeight="true" outlineLevel="0" collapsed="false">
      <c r="A29" s="22" t="s">
        <v>36</v>
      </c>
      <c r="B29" s="28" t="n">
        <v>397059</v>
      </c>
      <c r="C29" s="29" t="n">
        <v>20753</v>
      </c>
      <c r="D29" s="30" t="n">
        <f aca="false">IFERROR(C29/B29,"-")</f>
        <v>0.0522667915851297</v>
      </c>
      <c r="E29" s="31" t="n">
        <v>376306</v>
      </c>
      <c r="F29" s="32" t="n">
        <f aca="false">E29/B29</f>
        <v>0.94773320841487</v>
      </c>
      <c r="G29" s="29" t="n">
        <v>404</v>
      </c>
      <c r="H29" s="30" t="n">
        <f aca="false">IFERROR(G29/C29,"-")</f>
        <v>0.0194670650026502</v>
      </c>
      <c r="I29" s="30" t="n">
        <f aca="false">IFERROR(G29/B29,"-")</f>
        <v>0.00101748102926769</v>
      </c>
      <c r="J29" s="31" t="n">
        <v>396655</v>
      </c>
      <c r="K29" s="30" t="n">
        <f aca="false">J29/B29</f>
        <v>0.998982518970732</v>
      </c>
    </row>
    <row r="30" customFormat="false" ht="15.75" hidden="false" customHeight="true" outlineLevel="0" collapsed="false">
      <c r="A30" s="16" t="s">
        <v>37</v>
      </c>
      <c r="B30" s="17" t="n">
        <v>182305</v>
      </c>
      <c r="C30" s="18" t="n">
        <v>14796</v>
      </c>
      <c r="D30" s="19" t="n">
        <f aca="false">IFERROR(C30/B30,"-")</f>
        <v>0.08116069224651</v>
      </c>
      <c r="E30" s="20" t="n">
        <v>167509</v>
      </c>
      <c r="F30" s="21" t="n">
        <f aca="false">E30/B30</f>
        <v>0.91883930775349</v>
      </c>
      <c r="G30" s="18" t="n">
        <v>1800</v>
      </c>
      <c r="H30" s="19" t="n">
        <f aca="false">IFERROR(G30/C30,"-")</f>
        <v>0.121654501216545</v>
      </c>
      <c r="I30" s="19" t="n">
        <f aca="false">IFERROR(G30/B30,"-")</f>
        <v>0.00987356353363868</v>
      </c>
      <c r="J30" s="20" t="n">
        <v>182305</v>
      </c>
      <c r="K30" s="19" t="n">
        <f aca="false">J30/B30</f>
        <v>1</v>
      </c>
    </row>
    <row r="31" customFormat="false" ht="15.75" hidden="false" customHeight="true" outlineLevel="0" collapsed="false">
      <c r="A31" s="22" t="s">
        <v>38</v>
      </c>
      <c r="B31" s="28" t="n">
        <v>135310</v>
      </c>
      <c r="C31" s="29" t="n">
        <v>4576</v>
      </c>
      <c r="D31" s="30" t="n">
        <f aca="false">IFERROR(C31/B31,"-")</f>
        <v>0.0338186386815461</v>
      </c>
      <c r="E31" s="31" t="n">
        <v>130734</v>
      </c>
      <c r="F31" s="32" t="n">
        <f aca="false">E31/B31</f>
        <v>0.966181361318454</v>
      </c>
      <c r="G31" s="29" t="n">
        <v>64</v>
      </c>
      <c r="H31" s="30" t="n">
        <f aca="false">IFERROR(G31/C31,"-")</f>
        <v>0.013986013986014</v>
      </c>
      <c r="I31" s="30" t="n">
        <f aca="false">IFERROR(G31/B31,"-")</f>
        <v>0.000472987953588057</v>
      </c>
      <c r="J31" s="31" t="n">
        <v>135246</v>
      </c>
      <c r="K31" s="30" t="n">
        <f aca="false">J31/B31</f>
        <v>0.999527012046412</v>
      </c>
    </row>
    <row r="32" customFormat="false" ht="15.75" hidden="false" customHeight="true" outlineLevel="0" collapsed="false">
      <c r="A32" s="22" t="s">
        <v>39</v>
      </c>
      <c r="B32" s="28" t="n">
        <v>15652</v>
      </c>
      <c r="C32" s="29" t="n">
        <v>2786</v>
      </c>
      <c r="D32" s="30" t="n">
        <f aca="false">IFERROR(C32/B32,"-")</f>
        <v>0.177996422182469</v>
      </c>
      <c r="E32" s="31" t="n">
        <v>12866</v>
      </c>
      <c r="F32" s="32" t="n">
        <f aca="false">E32/B32</f>
        <v>0.822003577817531</v>
      </c>
      <c r="G32" s="29" t="s">
        <v>20</v>
      </c>
      <c r="H32" s="30" t="str">
        <f aca="false">IFERROR(G32/C32,"-")</f>
        <v>-</v>
      </c>
      <c r="I32" s="30" t="str">
        <f aca="false">IFERROR(G32/B32,"-")</f>
        <v>-</v>
      </c>
      <c r="J32" s="31" t="n">
        <v>15652</v>
      </c>
      <c r="K32" s="30" t="n">
        <f aca="false">J32/B32</f>
        <v>1</v>
      </c>
    </row>
    <row r="33" customFormat="false" ht="15.75" hidden="false" customHeight="true" outlineLevel="0" collapsed="false">
      <c r="A33" s="22" t="s">
        <v>40</v>
      </c>
      <c r="B33" s="28" t="n">
        <v>20344</v>
      </c>
      <c r="C33" s="29" t="n">
        <v>3498</v>
      </c>
      <c r="D33" s="30" t="n">
        <f aca="false">IFERROR(C33/B33,"-")</f>
        <v>0.171942587495085</v>
      </c>
      <c r="E33" s="31" t="n">
        <v>16846</v>
      </c>
      <c r="F33" s="32" t="n">
        <f aca="false">E33/B33</f>
        <v>0.828057412504916</v>
      </c>
      <c r="G33" s="29" t="n">
        <v>861</v>
      </c>
      <c r="H33" s="30" t="n">
        <f aca="false">IFERROR(G33/C33,"-")</f>
        <v>0.246140651801029</v>
      </c>
      <c r="I33" s="30" t="n">
        <f aca="false">IFERROR(G33/B33,"-")</f>
        <v>0.0423220605583956</v>
      </c>
      <c r="J33" s="31" t="n">
        <v>19483</v>
      </c>
      <c r="K33" s="30" t="n">
        <f aca="false">J33/B33</f>
        <v>0.957677939441604</v>
      </c>
    </row>
    <row r="34" customFormat="false" ht="15.75" hidden="false" customHeight="true" outlineLevel="0" collapsed="false">
      <c r="A34" s="22" t="s">
        <v>41</v>
      </c>
      <c r="B34" s="28" t="n">
        <v>10999</v>
      </c>
      <c r="C34" s="29" t="n">
        <v>3936</v>
      </c>
      <c r="D34" s="30" t="n">
        <f aca="false">IFERROR(C34/B34,"-")</f>
        <v>0.357850713701246</v>
      </c>
      <c r="E34" s="31" t="n">
        <v>7063</v>
      </c>
      <c r="F34" s="32" t="n">
        <f aca="false">E34/B34</f>
        <v>0.642149286298755</v>
      </c>
      <c r="G34" s="29" t="n">
        <v>875</v>
      </c>
      <c r="H34" s="30" t="n">
        <f aca="false">IFERROR(G34/C34,"-")</f>
        <v>0.222306910569106</v>
      </c>
      <c r="I34" s="30" t="n">
        <f aca="false">IFERROR(G34/B34,"-")</f>
        <v>0.0795526866078734</v>
      </c>
      <c r="J34" s="31" t="n">
        <v>10124</v>
      </c>
      <c r="K34" s="30" t="n">
        <f aca="false">J34/B34</f>
        <v>0.920447313392127</v>
      </c>
    </row>
    <row r="35" customFormat="false" ht="15.75" hidden="false" customHeight="true" outlineLevel="0" collapsed="false">
      <c r="A35" s="16" t="s">
        <v>42</v>
      </c>
      <c r="B35" s="17" t="n">
        <v>29056</v>
      </c>
      <c r="C35" s="18" t="n">
        <v>3836</v>
      </c>
      <c r="D35" s="19" t="n">
        <f aca="false">IFERROR(C35/B35,"-")</f>
        <v>0.132020925110132</v>
      </c>
      <c r="E35" s="20" t="n">
        <v>25220</v>
      </c>
      <c r="F35" s="21" t="n">
        <f aca="false">E35/B35</f>
        <v>0.867979074889868</v>
      </c>
      <c r="G35" s="18" t="n">
        <v>284</v>
      </c>
      <c r="H35" s="19" t="n">
        <f aca="false">IFERROR(G35/C35,"-")</f>
        <v>0.0740354535974974</v>
      </c>
      <c r="I35" s="19" t="n">
        <f aca="false">IFERROR(G35/B35,"-")</f>
        <v>0.00977422907488987</v>
      </c>
      <c r="J35" s="20" t="n">
        <v>29056</v>
      </c>
      <c r="K35" s="19" t="n">
        <f aca="false">J35/B35</f>
        <v>1</v>
      </c>
    </row>
    <row r="36" customFormat="false" ht="15.75" hidden="false" customHeight="true" outlineLevel="0" collapsed="false">
      <c r="A36" s="22" t="s">
        <v>43</v>
      </c>
      <c r="B36" s="28" t="n">
        <v>7113</v>
      </c>
      <c r="C36" s="29" t="n">
        <v>648</v>
      </c>
      <c r="D36" s="30" t="n">
        <f aca="false">IFERROR(C36/B36,"-")</f>
        <v>0.0911008013496415</v>
      </c>
      <c r="E36" s="31" t="n">
        <v>6465</v>
      </c>
      <c r="F36" s="32" t="n">
        <f aca="false">E36/B36</f>
        <v>0.908899198650359</v>
      </c>
      <c r="G36" s="29" t="s">
        <v>20</v>
      </c>
      <c r="H36" s="30" t="str">
        <f aca="false">IFERROR(G36/C36,"-")</f>
        <v>-</v>
      </c>
      <c r="I36" s="30" t="str">
        <f aca="false">IFERROR(G36/B36,"-")</f>
        <v>-</v>
      </c>
      <c r="J36" s="31" t="n">
        <v>7113</v>
      </c>
      <c r="K36" s="30" t="n">
        <f aca="false">J36/B36</f>
        <v>1</v>
      </c>
    </row>
    <row r="37" customFormat="false" ht="15.75" hidden="false" customHeight="true" outlineLevel="0" collapsed="false">
      <c r="A37" s="22" t="s">
        <v>44</v>
      </c>
      <c r="B37" s="28" t="n">
        <v>4447</v>
      </c>
      <c r="C37" s="29" t="n">
        <v>580</v>
      </c>
      <c r="D37" s="30" t="n">
        <f aca="false">IFERROR(C37/B37,"-")</f>
        <v>0.130425005621767</v>
      </c>
      <c r="E37" s="31" t="n">
        <v>3867</v>
      </c>
      <c r="F37" s="32" t="n">
        <f aca="false">E37/B37</f>
        <v>0.869574994378233</v>
      </c>
      <c r="G37" s="29" t="s">
        <v>20</v>
      </c>
      <c r="H37" s="30" t="str">
        <f aca="false">IFERROR(G37/C37,"-")</f>
        <v>-</v>
      </c>
      <c r="I37" s="30" t="str">
        <f aca="false">IFERROR(G37/B37,"-")</f>
        <v>-</v>
      </c>
      <c r="J37" s="31" t="n">
        <v>4447</v>
      </c>
      <c r="K37" s="30" t="n">
        <f aca="false">J37/B37</f>
        <v>1</v>
      </c>
    </row>
    <row r="38" customFormat="false" ht="15.75" hidden="false" customHeight="true" outlineLevel="0" collapsed="false">
      <c r="A38" s="22" t="s">
        <v>45</v>
      </c>
      <c r="B38" s="28" t="n">
        <v>17496</v>
      </c>
      <c r="C38" s="29" t="n">
        <v>2608</v>
      </c>
      <c r="D38" s="30" t="n">
        <f aca="false">IFERROR(C38/B38,"-")</f>
        <v>0.149062642889803</v>
      </c>
      <c r="E38" s="31" t="n">
        <v>14888</v>
      </c>
      <c r="F38" s="32" t="n">
        <f aca="false">E38/B38</f>
        <v>0.850937357110197</v>
      </c>
      <c r="G38" s="29" t="n">
        <v>284</v>
      </c>
      <c r="H38" s="30" t="n">
        <f aca="false">IFERROR(G38/C38,"-")</f>
        <v>0.108895705521472</v>
      </c>
      <c r="I38" s="30" t="n">
        <f aca="false">IFERROR(G38/B38,"-")</f>
        <v>0.0162322816643804</v>
      </c>
      <c r="J38" s="31" t="n">
        <v>17212</v>
      </c>
      <c r="K38" s="30" t="n">
        <f aca="false">J38/B38</f>
        <v>0.98376771833562</v>
      </c>
    </row>
    <row r="39" customFormat="false" ht="15.75" hidden="false" customHeight="true" outlineLevel="0" collapsed="false">
      <c r="A39" s="16" t="s">
        <v>46</v>
      </c>
      <c r="B39" s="17" t="n">
        <v>44957</v>
      </c>
      <c r="C39" s="18" t="n">
        <v>7208</v>
      </c>
      <c r="D39" s="19" t="n">
        <f aca="false">IFERROR(C39/B39,"-")</f>
        <v>0.160330982939253</v>
      </c>
      <c r="E39" s="20" t="n">
        <v>37749</v>
      </c>
      <c r="F39" s="21" t="n">
        <f aca="false">E39/B39</f>
        <v>0.839669017060747</v>
      </c>
      <c r="G39" s="18" t="n">
        <v>3528</v>
      </c>
      <c r="H39" s="19" t="n">
        <f aca="false">IFERROR(G39/C39,"-")</f>
        <v>0.48945615982242</v>
      </c>
      <c r="I39" s="19" t="n">
        <f aca="false">IFERROR(G39/B39,"-")</f>
        <v>0.0784749872100007</v>
      </c>
      <c r="J39" s="20" t="n">
        <v>44957</v>
      </c>
      <c r="K39" s="19" t="n">
        <f aca="false">J39/B39</f>
        <v>1</v>
      </c>
    </row>
    <row r="40" customFormat="false" ht="15.75" hidden="false" customHeight="true" outlineLevel="0" collapsed="false">
      <c r="A40" s="22" t="s">
        <v>47</v>
      </c>
      <c r="B40" s="28" t="n">
        <v>2546</v>
      </c>
      <c r="C40" s="29" t="n">
        <v>1145</v>
      </c>
      <c r="D40" s="30" t="n">
        <f aca="false">IFERROR(C40/B40,"-")</f>
        <v>0.449725058915947</v>
      </c>
      <c r="E40" s="31" t="n">
        <v>1401</v>
      </c>
      <c r="F40" s="32" t="n">
        <f aca="false">E40/B40</f>
        <v>0.550274941084053</v>
      </c>
      <c r="G40" s="29" t="s">
        <v>20</v>
      </c>
      <c r="H40" s="30" t="str">
        <f aca="false">IFERROR(G40/C40,"-")</f>
        <v>-</v>
      </c>
      <c r="I40" s="30" t="str">
        <f aca="false">IFERROR(G40/B40,"-")</f>
        <v>-</v>
      </c>
      <c r="J40" s="31" t="n">
        <v>2546</v>
      </c>
      <c r="K40" s="30" t="n">
        <f aca="false">J40/B40</f>
        <v>1</v>
      </c>
    </row>
    <row r="41" customFormat="false" ht="15.75" hidden="false" customHeight="true" outlineLevel="0" collapsed="false">
      <c r="A41" s="22" t="s">
        <v>48</v>
      </c>
      <c r="B41" s="28" t="n">
        <v>11719</v>
      </c>
      <c r="C41" s="29" t="n">
        <v>958</v>
      </c>
      <c r="D41" s="30" t="n">
        <f aca="false">IFERROR(C41/B41,"-")</f>
        <v>0.0817475893847598</v>
      </c>
      <c r="E41" s="31" t="n">
        <v>10761</v>
      </c>
      <c r="F41" s="32" t="n">
        <f aca="false">E41/B41</f>
        <v>0.91825241061524</v>
      </c>
      <c r="G41" s="29" t="s">
        <v>20</v>
      </c>
      <c r="H41" s="30" t="str">
        <f aca="false">IFERROR(G41/C41,"-")</f>
        <v>-</v>
      </c>
      <c r="I41" s="30" t="str">
        <f aca="false">IFERROR(G41/B41,"-")</f>
        <v>-</v>
      </c>
      <c r="J41" s="31" t="n">
        <v>11719</v>
      </c>
      <c r="K41" s="30" t="n">
        <f aca="false">J41/B41</f>
        <v>1</v>
      </c>
    </row>
    <row r="42" customFormat="false" ht="15.75" hidden="false" customHeight="true" outlineLevel="0" collapsed="false">
      <c r="A42" s="22" t="s">
        <v>49</v>
      </c>
      <c r="B42" s="28" t="n">
        <v>30387</v>
      </c>
      <c r="C42" s="29" t="n">
        <v>5105</v>
      </c>
      <c r="D42" s="30" t="n">
        <f aca="false">IFERROR(C42/B42,"-")</f>
        <v>0.167999473459045</v>
      </c>
      <c r="E42" s="31" t="n">
        <v>25282</v>
      </c>
      <c r="F42" s="32" t="n">
        <f aca="false">E42/B42</f>
        <v>0.832000526540955</v>
      </c>
      <c r="G42" s="29" t="n">
        <v>3528</v>
      </c>
      <c r="H42" s="30" t="n">
        <f aca="false">IFERROR(G42/C42,"-")</f>
        <v>0.691087169441724</v>
      </c>
      <c r="I42" s="30" t="n">
        <f aca="false">IFERROR(G42/B42,"-")</f>
        <v>0.116102280580511</v>
      </c>
      <c r="J42" s="31" t="n">
        <v>26859</v>
      </c>
      <c r="K42" s="30" t="n">
        <f aca="false">J42/B42</f>
        <v>0.883897719419489</v>
      </c>
    </row>
    <row r="43" customFormat="false" ht="15.75" hidden="false" customHeight="true" outlineLevel="0" collapsed="false">
      <c r="A43" s="34" t="s">
        <v>50</v>
      </c>
      <c r="B43" s="35" t="n">
        <v>305</v>
      </c>
      <c r="C43" s="36" t="s">
        <v>20</v>
      </c>
      <c r="D43" s="37" t="str">
        <f aca="false">IFERROR(C43/B43,"-")</f>
        <v>-</v>
      </c>
      <c r="E43" s="38" t="n">
        <v>305</v>
      </c>
      <c r="F43" s="39" t="n">
        <f aca="false">E43/B43</f>
        <v>1</v>
      </c>
      <c r="G43" s="40" t="s">
        <v>20</v>
      </c>
      <c r="H43" s="37" t="str">
        <f aca="false">IFERROR(G43/C43,"-")</f>
        <v>-</v>
      </c>
      <c r="I43" s="37" t="str">
        <f aca="false">IFERROR(G43/B43,"-")</f>
        <v>-</v>
      </c>
      <c r="J43" s="38" t="n">
        <v>305</v>
      </c>
      <c r="K43" s="37" t="n">
        <f aca="false">J43/B43</f>
        <v>1</v>
      </c>
    </row>
    <row r="44" customFormat="false" ht="15.75" hidden="false" customHeight="true" outlineLevel="0" collapsed="false">
      <c r="A44" s="41" t="s">
        <v>51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</row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</sheetData>
  <mergeCells count="15">
    <mergeCell ref="A1:K1"/>
    <mergeCell ref="A2:K2"/>
    <mergeCell ref="A3:K3"/>
    <mergeCell ref="A4:K4"/>
    <mergeCell ref="A5:A10"/>
    <mergeCell ref="B5:K5"/>
    <mergeCell ref="B6:K6"/>
    <mergeCell ref="B7:B10"/>
    <mergeCell ref="C7:K7"/>
    <mergeCell ref="C8:F8"/>
    <mergeCell ref="G8:K8"/>
    <mergeCell ref="C9:D9"/>
    <mergeCell ref="E9:F9"/>
    <mergeCell ref="G9:I9"/>
    <mergeCell ref="J9:K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11" min="1" style="0" width="8.71"/>
  </cols>
  <sheetData>
    <row r="1" customFormat="false" ht="15" hidden="false" customHeight="false" outlineLevel="0" collapsed="false">
      <c r="A1" s="0" t="s">
        <v>52</v>
      </c>
      <c r="B1" s="0" t="s">
        <v>53</v>
      </c>
      <c r="C1" s="0" t="s">
        <v>54</v>
      </c>
      <c r="D1" s="0" t="s">
        <v>55</v>
      </c>
    </row>
    <row r="2" customFormat="false" ht="15" hidden="false" customHeight="false" outlineLevel="0" collapsed="false">
      <c r="A2" s="0" t="n">
        <v>11</v>
      </c>
      <c r="B2" s="0" t="s">
        <v>56</v>
      </c>
      <c r="C2" s="0" t="s">
        <v>18</v>
      </c>
      <c r="D2" s="0" t="s">
        <v>17</v>
      </c>
    </row>
    <row r="3" customFormat="false" ht="15" hidden="false" customHeight="false" outlineLevel="0" collapsed="false">
      <c r="A3" s="0" t="n">
        <v>12</v>
      </c>
      <c r="B3" s="0" t="s">
        <v>57</v>
      </c>
      <c r="C3" s="0" t="s">
        <v>19</v>
      </c>
      <c r="D3" s="0" t="s">
        <v>17</v>
      </c>
    </row>
    <row r="4" customFormat="false" ht="15" hidden="false" customHeight="false" outlineLevel="0" collapsed="false">
      <c r="A4" s="0" t="n">
        <v>13</v>
      </c>
      <c r="B4" s="0" t="s">
        <v>58</v>
      </c>
      <c r="C4" s="0" t="s">
        <v>22</v>
      </c>
      <c r="D4" s="0" t="s">
        <v>17</v>
      </c>
    </row>
    <row r="5" customFormat="false" ht="15" hidden="false" customHeight="false" outlineLevel="0" collapsed="false">
      <c r="A5" s="0" t="n">
        <v>14</v>
      </c>
      <c r="B5" s="0" t="s">
        <v>59</v>
      </c>
      <c r="C5" s="0" t="s">
        <v>23</v>
      </c>
      <c r="D5" s="0" t="s">
        <v>17</v>
      </c>
    </row>
    <row r="6" customFormat="false" ht="15" hidden="false" customHeight="false" outlineLevel="0" collapsed="false">
      <c r="A6" s="0" t="n">
        <v>15</v>
      </c>
      <c r="B6" s="0" t="s">
        <v>60</v>
      </c>
      <c r="C6" s="0" t="s">
        <v>24</v>
      </c>
      <c r="D6" s="0" t="s">
        <v>17</v>
      </c>
    </row>
    <row r="7" customFormat="false" ht="15" hidden="false" customHeight="false" outlineLevel="0" collapsed="false">
      <c r="A7" s="0" t="n">
        <v>16</v>
      </c>
      <c r="B7" s="0" t="s">
        <v>61</v>
      </c>
      <c r="C7" s="0" t="s">
        <v>25</v>
      </c>
      <c r="D7" s="0" t="s">
        <v>17</v>
      </c>
    </row>
    <row r="8" customFormat="false" ht="15" hidden="false" customHeight="false" outlineLevel="0" collapsed="false">
      <c r="A8" s="0" t="n">
        <v>17</v>
      </c>
      <c r="B8" s="0" t="s">
        <v>62</v>
      </c>
      <c r="C8" s="0" t="s">
        <v>26</v>
      </c>
      <c r="D8" s="0" t="s">
        <v>17</v>
      </c>
    </row>
    <row r="9" customFormat="false" ht="15" hidden="false" customHeight="false" outlineLevel="0" collapsed="false">
      <c r="A9" s="0" t="n">
        <v>21</v>
      </c>
      <c r="B9" s="0" t="s">
        <v>63</v>
      </c>
      <c r="C9" s="0" t="s">
        <v>28</v>
      </c>
      <c r="D9" s="0" t="s">
        <v>27</v>
      </c>
    </row>
    <row r="10" customFormat="false" ht="15" hidden="false" customHeight="false" outlineLevel="0" collapsed="false">
      <c r="A10" s="0" t="n">
        <v>22</v>
      </c>
      <c r="B10" s="0" t="s">
        <v>64</v>
      </c>
      <c r="C10" s="0" t="s">
        <v>29</v>
      </c>
      <c r="D10" s="0" t="s">
        <v>27</v>
      </c>
    </row>
    <row r="11" customFormat="false" ht="15" hidden="false" customHeight="false" outlineLevel="0" collapsed="false">
      <c r="A11" s="0" t="n">
        <v>23</v>
      </c>
      <c r="B11" s="0" t="s">
        <v>65</v>
      </c>
      <c r="C11" s="0" t="s">
        <v>30</v>
      </c>
      <c r="D11" s="0" t="s">
        <v>27</v>
      </c>
    </row>
    <row r="12" customFormat="false" ht="15" hidden="false" customHeight="false" outlineLevel="0" collapsed="false">
      <c r="A12" s="0" t="n">
        <v>24</v>
      </c>
      <c r="B12" s="0" t="s">
        <v>66</v>
      </c>
      <c r="C12" s="0" t="s">
        <v>31</v>
      </c>
      <c r="D12" s="0" t="s">
        <v>27</v>
      </c>
    </row>
    <row r="13" customFormat="false" ht="15" hidden="false" customHeight="false" outlineLevel="0" collapsed="false">
      <c r="A13" s="0" t="n">
        <v>25</v>
      </c>
      <c r="B13" s="0" t="s">
        <v>67</v>
      </c>
      <c r="C13" s="0" t="s">
        <v>32</v>
      </c>
      <c r="D13" s="0" t="s">
        <v>27</v>
      </c>
    </row>
    <row r="14" customFormat="false" ht="15" hidden="false" customHeight="false" outlineLevel="0" collapsed="false">
      <c r="A14" s="0" t="n">
        <v>26</v>
      </c>
      <c r="B14" s="0" t="s">
        <v>68</v>
      </c>
      <c r="C14" s="0" t="s">
        <v>33</v>
      </c>
      <c r="D14" s="0" t="s">
        <v>27</v>
      </c>
    </row>
    <row r="15" customFormat="false" ht="15" hidden="false" customHeight="false" outlineLevel="0" collapsed="false">
      <c r="A15" s="0" t="n">
        <v>27</v>
      </c>
      <c r="B15" s="0" t="s">
        <v>69</v>
      </c>
      <c r="C15" s="0" t="s">
        <v>34</v>
      </c>
      <c r="D15" s="0" t="s">
        <v>27</v>
      </c>
    </row>
    <row r="16" customFormat="false" ht="15" hidden="false" customHeight="false" outlineLevel="0" collapsed="false">
      <c r="A16" s="0" t="n">
        <v>28</v>
      </c>
      <c r="B16" s="0" t="s">
        <v>70</v>
      </c>
      <c r="C16" s="0" t="s">
        <v>35</v>
      </c>
      <c r="D16" s="0" t="s">
        <v>27</v>
      </c>
    </row>
    <row r="17" customFormat="false" ht="15" hidden="false" customHeight="false" outlineLevel="0" collapsed="false">
      <c r="A17" s="0" t="n">
        <v>29</v>
      </c>
      <c r="B17" s="0" t="s">
        <v>71</v>
      </c>
      <c r="C17" s="0" t="s">
        <v>36</v>
      </c>
      <c r="D17" s="0" t="s">
        <v>27</v>
      </c>
    </row>
    <row r="18" customFormat="false" ht="15" hidden="false" customHeight="false" outlineLevel="0" collapsed="false">
      <c r="A18" s="0" t="n">
        <v>31</v>
      </c>
      <c r="B18" s="0" t="s">
        <v>72</v>
      </c>
      <c r="C18" s="0" t="s">
        <v>38</v>
      </c>
      <c r="D18" s="0" t="s">
        <v>37</v>
      </c>
    </row>
    <row r="19" customFormat="false" ht="15" hidden="false" customHeight="false" outlineLevel="0" collapsed="false">
      <c r="A19" s="0" t="n">
        <v>32</v>
      </c>
      <c r="B19" s="0" t="s">
        <v>73</v>
      </c>
      <c r="C19" s="0" t="s">
        <v>39</v>
      </c>
      <c r="D19" s="0" t="s">
        <v>37</v>
      </c>
    </row>
    <row r="20" customFormat="false" ht="15" hidden="false" customHeight="false" outlineLevel="0" collapsed="false">
      <c r="A20" s="0" t="n">
        <v>33</v>
      </c>
      <c r="B20" s="0" t="s">
        <v>74</v>
      </c>
      <c r="C20" s="0" t="s">
        <v>40</v>
      </c>
      <c r="D20" s="0" t="s">
        <v>37</v>
      </c>
    </row>
    <row r="21" customFormat="false" ht="15.75" hidden="false" customHeight="true" outlineLevel="0" collapsed="false">
      <c r="A21" s="0" t="n">
        <v>35</v>
      </c>
      <c r="B21" s="0" t="s">
        <v>75</v>
      </c>
      <c r="C21" s="0" t="s">
        <v>41</v>
      </c>
      <c r="D21" s="0" t="s">
        <v>37</v>
      </c>
    </row>
    <row r="22" customFormat="false" ht="15.75" hidden="false" customHeight="true" outlineLevel="0" collapsed="false">
      <c r="A22" s="0" t="n">
        <v>41</v>
      </c>
      <c r="B22" s="0" t="s">
        <v>76</v>
      </c>
      <c r="C22" s="0" t="s">
        <v>43</v>
      </c>
      <c r="D22" s="0" t="s">
        <v>42</v>
      </c>
    </row>
    <row r="23" customFormat="false" ht="15.75" hidden="false" customHeight="true" outlineLevel="0" collapsed="false">
      <c r="A23" s="0" t="n">
        <v>42</v>
      </c>
      <c r="B23" s="0" t="s">
        <v>77</v>
      </c>
      <c r="C23" s="0" t="s">
        <v>44</v>
      </c>
      <c r="D23" s="0" t="s">
        <v>42</v>
      </c>
    </row>
    <row r="24" customFormat="false" ht="15.75" hidden="false" customHeight="true" outlineLevel="0" collapsed="false">
      <c r="A24" s="0" t="n">
        <v>43</v>
      </c>
      <c r="B24" s="0" t="s">
        <v>78</v>
      </c>
      <c r="C24" s="0" t="s">
        <v>45</v>
      </c>
      <c r="D24" s="0" t="s">
        <v>42</v>
      </c>
    </row>
    <row r="25" customFormat="false" ht="15.75" hidden="false" customHeight="true" outlineLevel="0" collapsed="false">
      <c r="A25" s="0" t="n">
        <v>50</v>
      </c>
      <c r="B25" s="0" t="s">
        <v>79</v>
      </c>
      <c r="C25" s="0" t="s">
        <v>47</v>
      </c>
      <c r="D25" s="0" t="s">
        <v>46</v>
      </c>
    </row>
    <row r="26" customFormat="false" ht="15.75" hidden="false" customHeight="true" outlineLevel="0" collapsed="false">
      <c r="A26" s="0" t="n">
        <v>51</v>
      </c>
      <c r="B26" s="0" t="s">
        <v>80</v>
      </c>
      <c r="C26" s="0" t="s">
        <v>48</v>
      </c>
      <c r="D26" s="0" t="s">
        <v>46</v>
      </c>
    </row>
    <row r="27" customFormat="false" ht="15.75" hidden="false" customHeight="true" outlineLevel="0" collapsed="false">
      <c r="A27" s="0" t="n">
        <v>52</v>
      </c>
      <c r="B27" s="0" t="s">
        <v>81</v>
      </c>
      <c r="C27" s="0" t="s">
        <v>49</v>
      </c>
      <c r="D27" s="0" t="s">
        <v>46</v>
      </c>
    </row>
    <row r="28" customFormat="false" ht="15.75" hidden="false" customHeight="true" outlineLevel="0" collapsed="false">
      <c r="A28" s="0" t="n">
        <v>53</v>
      </c>
      <c r="B28" s="0" t="s">
        <v>82</v>
      </c>
      <c r="C28" s="0" t="s">
        <v>50</v>
      </c>
      <c r="D28" s="0" t="s">
        <v>46</v>
      </c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4.4257812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61.05"/>
    <col collapsed="false" customWidth="true" hidden="false" outlineLevel="0" max="3" min="3" style="0" width="15.56"/>
    <col collapsed="false" customWidth="true" hidden="false" outlineLevel="0" max="4" min="4" style="0" width="22.38"/>
    <col collapsed="false" customWidth="true" hidden="false" outlineLevel="0" max="5" min="5" style="0" width="26.75"/>
    <col collapsed="false" customWidth="true" hidden="false" outlineLevel="0" max="11" min="6" style="0" width="8.71"/>
  </cols>
  <sheetData>
    <row r="1" customFormat="false" ht="15" hidden="false" customHeight="false" outlineLevel="0" collapsed="false">
      <c r="A1" s="42" t="s">
        <v>83</v>
      </c>
      <c r="B1" s="42"/>
      <c r="C1" s="42"/>
      <c r="D1" s="42"/>
      <c r="E1" s="42"/>
    </row>
    <row r="2" customFormat="false" ht="15" hidden="false" customHeight="false" outlineLevel="0" collapsed="false">
      <c r="A2" s="42" t="s">
        <v>84</v>
      </c>
      <c r="B2" s="42"/>
      <c r="C2" s="42"/>
      <c r="D2" s="42"/>
      <c r="E2" s="42"/>
    </row>
    <row r="3" customFormat="false" ht="15" hidden="false" customHeight="false" outlineLevel="0" collapsed="false">
      <c r="A3" s="42" t="s">
        <v>85</v>
      </c>
      <c r="B3" s="42" t="s">
        <v>86</v>
      </c>
      <c r="C3" s="42" t="s">
        <v>87</v>
      </c>
      <c r="D3" s="42"/>
      <c r="E3" s="42"/>
    </row>
    <row r="4" customFormat="false" ht="15" hidden="false" customHeight="false" outlineLevel="0" collapsed="false">
      <c r="A4" s="42"/>
      <c r="B4" s="42"/>
      <c r="C4" s="42" t="s">
        <v>5</v>
      </c>
      <c r="D4" s="42"/>
      <c r="E4" s="42"/>
    </row>
    <row r="5" customFormat="false" ht="15" hidden="false" customHeight="false" outlineLevel="0" collapsed="false">
      <c r="A5" s="42"/>
      <c r="B5" s="42"/>
      <c r="C5" s="43" t="s">
        <v>6</v>
      </c>
      <c r="D5" s="43" t="s">
        <v>88</v>
      </c>
      <c r="E5" s="43" t="s">
        <v>89</v>
      </c>
    </row>
    <row r="6" customFormat="false" ht="15" hidden="false" customHeight="false" outlineLevel="0" collapsed="false">
      <c r="A6" s="0" t="s">
        <v>90</v>
      </c>
      <c r="B6" s="0" t="s">
        <v>16</v>
      </c>
      <c r="C6" s="0" t="n">
        <v>203062512</v>
      </c>
      <c r="D6" s="0" t="n">
        <v>203518</v>
      </c>
      <c r="E6" s="0" t="n">
        <v>202858994</v>
      </c>
    </row>
    <row r="7" customFormat="false" ht="15" hidden="false" customHeight="false" outlineLevel="0" collapsed="false">
      <c r="A7" s="0" t="s">
        <v>55</v>
      </c>
      <c r="B7" s="0" t="s">
        <v>17</v>
      </c>
      <c r="C7" s="0" t="n">
        <v>17349619</v>
      </c>
      <c r="D7" s="0" t="n">
        <v>58966</v>
      </c>
      <c r="E7" s="0" t="n">
        <v>17290653</v>
      </c>
    </row>
    <row r="8" customFormat="false" ht="15" hidden="false" customHeight="false" outlineLevel="0" collapsed="false">
      <c r="A8" s="0" t="s">
        <v>55</v>
      </c>
      <c r="B8" s="0" t="s">
        <v>27</v>
      </c>
      <c r="C8" s="0" t="n">
        <v>54644582</v>
      </c>
      <c r="D8" s="0" t="n">
        <v>107566</v>
      </c>
      <c r="E8" s="0" t="n">
        <v>54537016</v>
      </c>
    </row>
    <row r="9" customFormat="false" ht="15" hidden="false" customHeight="false" outlineLevel="0" collapsed="false">
      <c r="A9" s="0" t="s">
        <v>55</v>
      </c>
      <c r="B9" s="0" t="s">
        <v>37</v>
      </c>
      <c r="C9" s="0" t="n">
        <v>84847187</v>
      </c>
      <c r="D9" s="0" t="n">
        <v>20961</v>
      </c>
      <c r="E9" s="0" t="n">
        <v>84826226</v>
      </c>
    </row>
    <row r="10" customFormat="false" ht="15" hidden="false" customHeight="false" outlineLevel="0" collapsed="false">
      <c r="A10" s="0" t="s">
        <v>55</v>
      </c>
      <c r="B10" s="0" t="s">
        <v>42</v>
      </c>
      <c r="C10" s="0" t="n">
        <v>29933315</v>
      </c>
      <c r="D10" s="0" t="n">
        <v>5964</v>
      </c>
      <c r="E10" s="0" t="n">
        <v>29927351</v>
      </c>
    </row>
    <row r="11" customFormat="false" ht="15" hidden="false" customHeight="false" outlineLevel="0" collapsed="false">
      <c r="A11" s="0" t="s">
        <v>55</v>
      </c>
      <c r="B11" s="0" t="s">
        <v>46</v>
      </c>
      <c r="C11" s="0" t="n">
        <v>16287809</v>
      </c>
      <c r="D11" s="0" t="n">
        <v>10061</v>
      </c>
      <c r="E11" s="0" t="n">
        <v>16277748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mergeCells count="6">
    <mergeCell ref="A1:E1"/>
    <mergeCell ref="A2:E2"/>
    <mergeCell ref="A3:A5"/>
    <mergeCell ref="B3:B5"/>
    <mergeCell ref="C3:E3"/>
    <mergeCell ref="C4:E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448C3EBD8EC141866AD1CE76139379" ma:contentTypeVersion="8" ma:contentTypeDescription="Crie um novo documento." ma:contentTypeScope="" ma:versionID="8a26e4c3365e16888fb1ecdea9c14f69">
  <xsd:schema xmlns:xsd="http://www.w3.org/2001/XMLSchema" xmlns:xs="http://www.w3.org/2001/XMLSchema" xmlns:p="http://schemas.microsoft.com/office/2006/metadata/properties" xmlns:ns2="7c3d1b38-a16c-4759-b92e-2efe9ffee0e6" targetNamespace="http://schemas.microsoft.com/office/2006/metadata/properties" ma:root="true" ma:fieldsID="101a3be064994313ba82a49645d66896" ns2:_="">
    <xsd:import namespace="7c3d1b38-a16c-4759-b92e-2efe9ffee0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d1b38-a16c-4759-b92e-2efe9ffee0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f81e987-bf3d-489f-ba09-155191a9b1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3d1b38-a16c-4759-b92e-2efe9ffee0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F1F465-8416-4757-8CDF-1FD10C8C9F45}"/>
</file>

<file path=customXml/itemProps2.xml><?xml version="1.0" encoding="utf-8"?>
<ds:datastoreItem xmlns:ds="http://schemas.openxmlformats.org/officeDocument/2006/customXml" ds:itemID="{CBE61B12-43FE-4C61-8F3C-F54462CC61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8C9D61-6DA9-4825-B49A-94654E8DB390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6e09cb10-7a67-4db3-8963-43eb9854a228"/>
    <ds:schemaRef ds:uri="http://schemas.microsoft.com/office/infopath/2007/PartnerControls"/>
    <ds:schemaRef ds:uri="a914d7cb-09a9-4dc1-8d6c-2c358e89cd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459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2023-07-16T22:47:22Z</dcterms:created>
  <dc:creator>Fernando Souza Damasco</dc:creator>
  <dc:description/>
  <dc:language>pt-BR</dc:language>
  <cp:lastModifiedBy/>
  <dcterms:modified xsi:type="dcterms:W3CDTF">2024-09-23T18:38:32Z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0x01010031448C3EBD8EC141866AD1CE76139379</vt:lpwstr>
  </property>
  <property fmtid="{D5CDD505-2E9C-101B-9397-08002B2CF9AE}" pid="4" name="MediaServiceImageTags">
    <vt:lpwstr/>
  </property>
  <property fmtid="{D5CDD505-2E9C-101B-9397-08002B2CF9AE}" pid="5" name="Order">
    <vt:r8>37100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_SharedFileIndex">
    <vt:lpwstr/>
  </property>
  <property fmtid="{D5CDD505-2E9C-101B-9397-08002B2CF9AE}" pid="10" name="_SourceUrl">
    <vt:lpwstr/>
  </property>
  <property fmtid="{D5CDD505-2E9C-101B-9397-08002B2CF9AE}" pid="11" name="xd_ProgID">
    <vt:lpwstr/>
  </property>
  <property fmtid="{D5CDD505-2E9C-101B-9397-08002B2CF9AE}" pid="12" name="xd_Signature">
    <vt:bool>0</vt:bool>
  </property>
</Properties>
</file>